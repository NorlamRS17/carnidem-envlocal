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B77E88B-2E9F-4303-8F4A-31157E9963E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8" i="1" l="1"/>
  <c r="F19" i="1"/>
  <c r="F17" i="1"/>
  <c r="E16" i="1"/>
  <c r="E15" i="1"/>
  <c r="E14" i="1"/>
  <c r="E13" i="1"/>
  <c r="E12" i="1"/>
  <c r="E11" i="1"/>
  <c r="E10" i="1"/>
  <c r="F9" i="1"/>
  <c r="F6" i="1"/>
  <c r="F7" i="1"/>
  <c r="F8" i="1"/>
  <c r="F5" i="1"/>
  <c r="F3" i="1"/>
  <c r="F4" i="1"/>
  <c r="F2" i="1"/>
</calcChain>
</file>

<file path=xl/sharedStrings.xml><?xml version="1.0" encoding="utf-8"?>
<sst xmlns="http://schemas.openxmlformats.org/spreadsheetml/2006/main" count="82" uniqueCount="55">
  <si>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</si>
  <si>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</si>
  <si>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</si>
  <si>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</si>
  <si>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</si>
  <si>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</si>
  <si>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</si>
  <si>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</si>
  <si>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</si>
  <si>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</si>
  <si>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</si>
  <si>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</si>
  <si>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</si>
  <si>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</si>
  <si>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</si>
  <si>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001283</t>
  </si>
  <si>
    <t>01283</t>
  </si>
  <si>
    <t>Liq 44</t>
  </si>
  <si>
    <t>Liq 45</t>
  </si>
  <si>
    <t>Liq 46</t>
  </si>
  <si>
    <t>Liq 47</t>
  </si>
  <si>
    <t>0002627</t>
  </si>
  <si>
    <t>2624</t>
  </si>
  <si>
    <t>2628</t>
  </si>
  <si>
    <t>2620</t>
  </si>
  <si>
    <t>2623</t>
  </si>
  <si>
    <t>Liq 48</t>
  </si>
  <si>
    <t>Liq 49</t>
  </si>
  <si>
    <t>Liq 50</t>
  </si>
  <si>
    <t>2407</t>
  </si>
  <si>
    <t>105353</t>
  </si>
  <si>
    <t>001284</t>
  </si>
  <si>
    <t>2606</t>
  </si>
  <si>
    <t>007098</t>
  </si>
  <si>
    <t>002619</t>
  </si>
  <si>
    <t>007104</t>
  </si>
  <si>
    <t>01284</t>
  </si>
  <si>
    <t>002631</t>
  </si>
  <si>
    <t>00711</t>
  </si>
  <si>
    <t>286788</t>
  </si>
  <si>
    <t>002633</t>
  </si>
  <si>
    <t>419498</t>
  </si>
  <si>
    <t>002636</t>
  </si>
  <si>
    <t>2634</t>
  </si>
  <si>
    <t>Liq 51</t>
  </si>
  <si>
    <t>Liq 52</t>
  </si>
  <si>
    <t>Liq 53</t>
  </si>
  <si>
    <t>Liq 54</t>
  </si>
  <si>
    <t>Liq 55</t>
  </si>
  <si>
    <t>Liq 56</t>
  </si>
  <si>
    <t>Liq 57</t>
  </si>
  <si>
    <t>Liq 58</t>
  </si>
  <si>
    <t>Liq 59</t>
  </si>
  <si>
    <t>Liq 60</t>
  </si>
  <si>
    <t>Liq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</si>
</sst>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7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49" fontId="0" fillId="0" borderId="0" xfId="0" applyNumberFormat="1"/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="130" zoomScaleNormal="130" workbookViewId="0">
      <selection activeCell="B22" sqref="B22"/>
    </sheetView>
  </sheetViews>
  <sheetFormatPr baseColWidth="10" defaultColWidth="8.5703125" defaultRowHeight="15" x14ac:dyDescent="0.25"/>
  <cols>
    <col min="1" max="1" width="14.140625" style="11" customWidth="1"/>
    <col min="2" max="2" width="10.7109375" style="11" customWidth="1"/>
    <col min="3" max="3" width="7.28515625" style="12" customWidth="1"/>
    <col min="4" max="4" width="14" style="13" customWidth="1"/>
    <col min="5" max="5" width="8.5703125" style="11"/>
    <col min="6" max="6" width="9.7109375" style="11" customWidth="1"/>
    <col min="7" max="10" width="8.5703125" style="11"/>
    <col min="11" max="11" width="13.7109375" style="11" customWidth="1"/>
    <col min="12" max="12" width="8.5703125" style="11"/>
    <col min="13" max="13" width="27.7109375" style="11" customWidth="1"/>
    <col min="14" max="14" width="17" customWidth="1"/>
  </cols>
  <sheetData>
    <row r="1" spans="1:14" s="2" customFormat="1" ht="34.5" customHeight="1" x14ac:dyDescent="0.2">
      <c r="A1" s="5" t="s">
        <v>0</v>
      </c>
      <c r="B1" s="5" t="s">
        <v>14</v>
      </c>
      <c r="C1" s="6" t="s">
        <v>1</v>
      </c>
      <c r="D1" s="7" t="s">
        <v>2</v>
      </c>
      <c r="E1" s="8" t="s">
        <v>3</v>
      </c>
      <c r="F1" s="5" t="s">
        <v>4</v>
      </c>
      <c r="G1" s="8" t="s">
        <v>5</v>
      </c>
      <c r="H1" s="9" t="s">
        <v>6</v>
      </c>
      <c r="I1" s="9" t="s">
        <v>7</v>
      </c>
      <c r="J1" s="9" t="s">
        <v>8</v>
      </c>
      <c r="K1" s="5" t="s">
        <v>9</v>
      </c>
      <c r="L1" s="5" t="s">
        <v>10</v>
      </c>
      <c r="M1" s="5" t="s">
        <v>11</v>
      </c>
      <c r="N1" s="1" t="s">
        <v>12</v>
      </c>
    </row>
    <row r="2" spans="1:14" s="3" customFormat="1" x14ac:dyDescent="0.25">
      <c r="A2" s="10">
        <v>45996</v>
      </c>
      <c r="B2" s="11" t="s">
        <v>17</v>
      </c>
      <c r="C2" s="12" t="s">
        <v>15</v>
      </c>
      <c r="D2" s="13" t="s">
        <v>21</v>
      </c>
      <c r="E2" s="11">
        <v>32.799999999999997</v>
      </c>
      <c r="F2" s="11">
        <f>E2-G2-H2-I2</f>
        <v>27.709999999999997</v>
      </c>
      <c r="G2" s="11">
        <v>1.52</v>
      </c>
      <c r="H2" s="11">
        <v>0.56999999999999995</v>
      </c>
      <c r="I2" s="11">
        <v>3</v>
      </c>
      <c r="J2" s="11">
        <v>0</v>
      </c>
      <c r="K2" s="14">
        <v>1505129</v>
      </c>
      <c r="L2" s="11" t="s">
        <v>13</v>
      </c>
      <c r="M2" s="11"/>
    </row>
    <row r="3" spans="1:14" s="3" customFormat="1" x14ac:dyDescent="0.25">
      <c r="A3" s="10">
        <v>45996</v>
      </c>
      <c r="B3" s="11" t="s">
        <v>18</v>
      </c>
      <c r="C3" s="12" t="s">
        <v>16</v>
      </c>
      <c r="D3" s="13" t="s">
        <v>22</v>
      </c>
      <c r="E3" s="11">
        <v>31.89</v>
      </c>
      <c r="F3" s="11">
        <f t="shared" ref="F3:F9" si="0">E3-G3-H3-I3</f>
        <v>26.96</v>
      </c>
      <c r="G3" s="11">
        <v>1.47</v>
      </c>
      <c r="H3" s="11">
        <v>0.55000000000000004</v>
      </c>
      <c r="I3" s="11">
        <v>2.91</v>
      </c>
      <c r="J3" s="11">
        <v>0</v>
      </c>
      <c r="K3" s="14">
        <v>1505129</v>
      </c>
      <c r="L3" s="11" t="s">
        <v>13</v>
      </c>
      <c r="M3" s="11"/>
    </row>
    <row r="4" spans="1:14" x14ac:dyDescent="0.25">
      <c r="A4" s="10">
        <v>45996</v>
      </c>
      <c r="B4" s="11" t="s">
        <v>19</v>
      </c>
      <c r="C4" s="12" t="s">
        <v>15</v>
      </c>
      <c r="D4" s="13" t="s">
        <v>15</v>
      </c>
      <c r="E4" s="11">
        <v>16.5</v>
      </c>
      <c r="F4" s="11">
        <f t="shared" si="0"/>
        <v>13.940000000000001</v>
      </c>
      <c r="G4" s="11">
        <v>0.76</v>
      </c>
      <c r="H4" s="11">
        <v>0.28999999999999998</v>
      </c>
      <c r="I4" s="11">
        <v>1.51</v>
      </c>
      <c r="J4" s="11">
        <v>0</v>
      </c>
      <c r="K4" s="14">
        <v>1505129</v>
      </c>
      <c r="L4" s="11" t="s">
        <v>13</v>
      </c>
    </row>
    <row r="5" spans="1:14" x14ac:dyDescent="0.25">
      <c r="A5" s="10">
        <v>45996</v>
      </c>
      <c r="B5" s="11" t="s">
        <v>20</v>
      </c>
      <c r="C5" s="12" t="s">
        <v>15</v>
      </c>
      <c r="D5" s="13" t="s">
        <v>23</v>
      </c>
      <c r="E5" s="11">
        <v>17.100000000000001</v>
      </c>
      <c r="F5" s="11">
        <f t="shared" si="0"/>
        <v>14.450000000000001</v>
      </c>
      <c r="G5" s="11">
        <v>0.79</v>
      </c>
      <c r="H5" s="11">
        <v>0.3</v>
      </c>
      <c r="I5" s="11">
        <v>1.56</v>
      </c>
      <c r="J5" s="11">
        <v>0</v>
      </c>
      <c r="K5" s="14">
        <v>1505129</v>
      </c>
      <c r="L5" s="11" t="s">
        <v>13</v>
      </c>
    </row>
    <row r="6" spans="1:14" x14ac:dyDescent="0.25">
      <c r="A6" s="10">
        <v>45996</v>
      </c>
      <c r="B6" s="11" t="s">
        <v>26</v>
      </c>
      <c r="C6" s="12" t="s">
        <v>15</v>
      </c>
      <c r="D6" s="13" t="s">
        <v>24</v>
      </c>
      <c r="E6" s="11">
        <v>14.9</v>
      </c>
      <c r="F6" s="11">
        <f t="shared" si="0"/>
        <v>12.590000000000002</v>
      </c>
      <c r="G6" s="11">
        <v>0.69</v>
      </c>
      <c r="H6" s="11">
        <v>0.26</v>
      </c>
      <c r="I6" s="11">
        <v>1.36</v>
      </c>
      <c r="J6" s="11">
        <v>0</v>
      </c>
      <c r="K6" s="14">
        <v>1323968</v>
      </c>
      <c r="L6" s="11" t="s">
        <v>13</v>
      </c>
    </row>
    <row r="7" spans="1:14" x14ac:dyDescent="0.25">
      <c r="A7" s="10">
        <v>45996</v>
      </c>
      <c r="B7" s="11" t="s">
        <v>27</v>
      </c>
      <c r="C7" s="12" t="s">
        <v>16</v>
      </c>
      <c r="D7" s="13" t="s">
        <v>25</v>
      </c>
      <c r="E7" s="11">
        <v>20.79</v>
      </c>
      <c r="F7" s="11">
        <f t="shared" si="0"/>
        <v>17.57</v>
      </c>
      <c r="G7" s="11">
        <v>0.96</v>
      </c>
      <c r="H7" s="11">
        <v>0.36</v>
      </c>
      <c r="I7" s="11">
        <v>1.9</v>
      </c>
      <c r="J7" s="11">
        <v>0</v>
      </c>
      <c r="K7" s="14">
        <v>1323968</v>
      </c>
      <c r="L7" s="11" t="s">
        <v>13</v>
      </c>
    </row>
    <row r="8" spans="1:14" x14ac:dyDescent="0.25">
      <c r="A8" s="10">
        <v>45996</v>
      </c>
      <c r="B8" s="11" t="s">
        <v>28</v>
      </c>
      <c r="C8" s="12" t="s">
        <v>29</v>
      </c>
      <c r="D8" s="13" t="s">
        <v>30</v>
      </c>
      <c r="E8" s="11">
        <v>5.7</v>
      </c>
      <c r="F8" s="11">
        <f t="shared" si="0"/>
        <v>4.9500000000000011</v>
      </c>
      <c r="G8" s="11">
        <v>0.13</v>
      </c>
      <c r="H8" s="11">
        <v>0.1</v>
      </c>
      <c r="I8" s="11">
        <v>0.52</v>
      </c>
      <c r="J8" s="11">
        <v>0</v>
      </c>
      <c r="K8" s="14">
        <v>48514831</v>
      </c>
      <c r="L8" s="11" t="s">
        <v>13</v>
      </c>
    </row>
    <row r="9" spans="1:14" x14ac:dyDescent="0.25">
      <c r="A9" s="10">
        <v>45996</v>
      </c>
      <c r="B9" s="11" t="s">
        <v>44</v>
      </c>
      <c r="C9" s="12" t="s">
        <v>31</v>
      </c>
      <c r="D9" s="13" t="s">
        <v>32</v>
      </c>
      <c r="E9" s="11">
        <v>41.07</v>
      </c>
      <c r="F9" s="11">
        <f t="shared" si="0"/>
        <v>39.31</v>
      </c>
      <c r="G9" s="11">
        <v>0.94</v>
      </c>
      <c r="H9" s="11">
        <v>0.82</v>
      </c>
      <c r="I9" s="11">
        <v>0</v>
      </c>
      <c r="J9" s="11">
        <v>0</v>
      </c>
      <c r="K9" s="14">
        <v>48514831</v>
      </c>
      <c r="L9" s="11" t="s">
        <v>13</v>
      </c>
    </row>
    <row r="10" spans="1:14" x14ac:dyDescent="0.25">
      <c r="A10" s="10">
        <v>45996</v>
      </c>
      <c r="B10" s="11" t="s">
        <v>45</v>
      </c>
      <c r="C10" s="14">
        <v>1110</v>
      </c>
      <c r="D10" s="13" t="s">
        <v>33</v>
      </c>
      <c r="E10" s="11">
        <f t="shared" ref="E10:E16" si="1">SUM(F10:I10)</f>
        <v>25.02</v>
      </c>
      <c r="F10" s="11">
        <v>23.23</v>
      </c>
      <c r="G10" s="11">
        <v>1.1599999999999999</v>
      </c>
      <c r="H10" s="11">
        <v>0.49</v>
      </c>
      <c r="I10" s="11">
        <v>0.14000000000000001</v>
      </c>
      <c r="J10" s="11">
        <v>0</v>
      </c>
      <c r="K10" s="14">
        <v>1508558</v>
      </c>
      <c r="L10" s="11" t="s">
        <v>13</v>
      </c>
    </row>
    <row r="11" spans="1:14" x14ac:dyDescent="0.25">
      <c r="A11" s="10">
        <v>45996</v>
      </c>
      <c r="B11" s="11" t="s">
        <v>46</v>
      </c>
      <c r="C11" s="14" t="s">
        <v>15</v>
      </c>
      <c r="D11" s="13" t="s">
        <v>34</v>
      </c>
      <c r="E11" s="11">
        <f t="shared" si="1"/>
        <v>11.2</v>
      </c>
      <c r="F11" s="11">
        <v>9.4700000000000006</v>
      </c>
      <c r="G11" s="11">
        <v>0.52</v>
      </c>
      <c r="H11" s="11">
        <v>0.19</v>
      </c>
      <c r="I11" s="11">
        <v>1.02</v>
      </c>
      <c r="J11" s="11">
        <v>0</v>
      </c>
      <c r="K11" s="14">
        <v>1211906</v>
      </c>
      <c r="L11" s="11" t="s">
        <v>13</v>
      </c>
    </row>
    <row r="12" spans="1:14" x14ac:dyDescent="0.25">
      <c r="A12" s="10">
        <v>45999</v>
      </c>
      <c r="B12" s="11" t="s">
        <v>47</v>
      </c>
      <c r="C12" s="14">
        <v>1111</v>
      </c>
      <c r="D12" s="13" t="s">
        <v>35</v>
      </c>
      <c r="E12" s="11">
        <f t="shared" si="1"/>
        <v>10.5</v>
      </c>
      <c r="F12" s="11">
        <v>9.42</v>
      </c>
      <c r="G12" s="11">
        <v>0.49</v>
      </c>
      <c r="H12" s="11">
        <v>0.18</v>
      </c>
      <c r="I12" s="11">
        <v>0.41</v>
      </c>
      <c r="J12" s="11">
        <v>0</v>
      </c>
      <c r="K12" s="14">
        <v>196889177</v>
      </c>
      <c r="L12" s="11" t="s">
        <v>13</v>
      </c>
    </row>
    <row r="13" spans="1:14" x14ac:dyDescent="0.25">
      <c r="A13" s="10">
        <v>45999</v>
      </c>
      <c r="B13" s="11" t="s">
        <v>48</v>
      </c>
      <c r="C13" s="14" t="s">
        <v>36</v>
      </c>
      <c r="D13" s="13" t="s">
        <v>37</v>
      </c>
      <c r="E13" s="11">
        <f t="shared" si="1"/>
        <v>6.8</v>
      </c>
      <c r="F13" s="11">
        <v>5.75</v>
      </c>
      <c r="G13" s="11">
        <v>0.31</v>
      </c>
      <c r="H13" s="11">
        <v>0.12</v>
      </c>
      <c r="I13" s="11">
        <v>0.62</v>
      </c>
      <c r="J13" s="11">
        <v>0</v>
      </c>
      <c r="K13" s="14">
        <v>196068988</v>
      </c>
      <c r="L13" s="11" t="s">
        <v>13</v>
      </c>
    </row>
    <row r="14" spans="1:14" x14ac:dyDescent="0.25">
      <c r="A14" s="10">
        <v>45999</v>
      </c>
      <c r="B14" s="11" t="s">
        <v>49</v>
      </c>
      <c r="C14" s="14">
        <v>1112</v>
      </c>
      <c r="D14" s="13" t="s">
        <v>38</v>
      </c>
      <c r="E14" s="11">
        <f t="shared" si="1"/>
        <v>21</v>
      </c>
      <c r="F14" s="11">
        <v>19.329999999999998</v>
      </c>
      <c r="G14" s="11">
        <v>0.48</v>
      </c>
      <c r="H14" s="11">
        <v>0.37</v>
      </c>
      <c r="I14" s="11">
        <v>0.82</v>
      </c>
      <c r="J14" s="11">
        <v>0</v>
      </c>
      <c r="K14" s="14">
        <v>197377933</v>
      </c>
      <c r="L14" s="11" t="s">
        <v>13</v>
      </c>
    </row>
    <row r="15" spans="1:14" x14ac:dyDescent="0.25">
      <c r="A15" s="10">
        <v>45999</v>
      </c>
      <c r="B15" s="11" t="s">
        <v>50</v>
      </c>
      <c r="C15" s="14">
        <v>2001</v>
      </c>
      <c r="D15" s="13" t="s">
        <v>39</v>
      </c>
      <c r="E15" s="11">
        <f t="shared" si="1"/>
        <v>32.08</v>
      </c>
      <c r="F15" s="11">
        <v>30.7</v>
      </c>
      <c r="G15" s="11">
        <v>0.74</v>
      </c>
      <c r="H15" s="11">
        <v>0.64</v>
      </c>
      <c r="I15" s="11">
        <v>0</v>
      </c>
      <c r="J15" s="11">
        <v>0</v>
      </c>
      <c r="K15" s="14">
        <v>197355021</v>
      </c>
      <c r="L15" s="11" t="s">
        <v>13</v>
      </c>
    </row>
    <row r="16" spans="1:14" x14ac:dyDescent="0.25">
      <c r="A16" s="10">
        <v>45999</v>
      </c>
      <c r="B16" s="11" t="s">
        <v>51</v>
      </c>
      <c r="C16" s="14" t="s">
        <v>31</v>
      </c>
      <c r="D16" s="13" t="s">
        <v>40</v>
      </c>
      <c r="E16" s="11">
        <f t="shared" si="1"/>
        <v>7.81</v>
      </c>
      <c r="F16" s="11">
        <v>6.6</v>
      </c>
      <c r="G16" s="11">
        <v>0.36</v>
      </c>
      <c r="H16" s="11">
        <v>0.14000000000000001</v>
      </c>
      <c r="I16" s="11">
        <v>0.71</v>
      </c>
      <c r="J16" s="11">
        <v>0</v>
      </c>
      <c r="K16" s="14">
        <v>196871853</v>
      </c>
      <c r="L16" s="11" t="s">
        <v>13</v>
      </c>
    </row>
    <row r="17" spans="1:12" x14ac:dyDescent="0.25">
      <c r="A17" s="10">
        <v>45999</v>
      </c>
      <c r="B17" s="11" t="s">
        <v>52</v>
      </c>
      <c r="C17" s="12" t="s">
        <v>29</v>
      </c>
      <c r="D17" s="13" t="s">
        <v>41</v>
      </c>
      <c r="E17" s="11">
        <v>14.8</v>
      </c>
      <c r="F17" s="11">
        <f>E17-G17-H17-I17</f>
        <v>13.82</v>
      </c>
      <c r="G17" s="11">
        <v>0.68</v>
      </c>
      <c r="H17" s="11">
        <v>0.3</v>
      </c>
      <c r="I17" s="11">
        <v>0</v>
      </c>
      <c r="J17" s="11">
        <v>0</v>
      </c>
      <c r="K17" s="4">
        <v>123297135</v>
      </c>
      <c r="L17" s="11" t="s">
        <v>13</v>
      </c>
    </row>
    <row r="18" spans="1:12" x14ac:dyDescent="0.25">
      <c r="A18" s="10">
        <v>38694</v>
      </c>
      <c r="B18" s="11" t="s">
        <v>53</v>
      </c>
      <c r="C18" s="12" t="s">
        <v>31</v>
      </c>
      <c r="D18" s="13" t="s">
        <v>42</v>
      </c>
      <c r="E18" s="11">
        <v>12.6</v>
      </c>
      <c r="F18" s="11">
        <f t="shared" ref="F18:F19" si="2">E18-G18-H18-I18</f>
        <v>10.649999999999999</v>
      </c>
      <c r="G18" s="11">
        <v>0.57999999999999996</v>
      </c>
      <c r="H18" s="11">
        <v>0.22</v>
      </c>
      <c r="I18" s="11">
        <v>1.1499999999999999</v>
      </c>
      <c r="J18" s="11">
        <v>0</v>
      </c>
      <c r="K18" s="4">
        <v>123297135</v>
      </c>
      <c r="L18" s="11" t="s">
        <v>13</v>
      </c>
    </row>
    <row r="19" spans="1:12" x14ac:dyDescent="0.25">
      <c r="A19" s="10">
        <v>38694</v>
      </c>
      <c r="B19" s="11" t="s">
        <v>54</v>
      </c>
      <c r="C19" s="12" t="s">
        <v>31</v>
      </c>
      <c r="D19" s="13" t="s">
        <v>43</v>
      </c>
      <c r="E19" s="11">
        <v>15.8</v>
      </c>
      <c r="F19" s="11">
        <f t="shared" si="2"/>
        <v>13.360000000000001</v>
      </c>
      <c r="G19" s="11">
        <v>0.73</v>
      </c>
      <c r="H19" s="11">
        <v>0.27</v>
      </c>
      <c r="I19" s="11">
        <v>1.44</v>
      </c>
      <c r="J19" s="11">
        <v>0</v>
      </c>
      <c r="K19" s="4">
        <v>123297135</v>
      </c>
      <c r="L19" s="11" t="s">
        <v>13</v>
      </c>
    </row>
    <row r="20" spans="1:12" x14ac:dyDescent="0.25">
      <c r="A20" s="10"/>
      <c r="K20" s="14"/>
    </row>
    <row r="21" spans="1:12" x14ac:dyDescent="0.25">
      <c r="A21" s="10"/>
      <c r="K21" s="14"/>
    </row>
  </sheetData>
  <phoneticPr fontId="3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2026-02-02T13:41:07Z</dcterms:modified>
  <cp:revision>65</cp:revision>
</cp:coreProperties>
</file>