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AFFC6389-B17E-42C4-9EE6-14904F42EB3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0" i="1" l="1"/>
  <c r="F11" i="1"/>
  <c r="F12" i="1"/>
  <c r="F9" i="1"/>
  <c r="H6" i="1"/>
  <c r="H5" i="1"/>
  <c r="H4" i="1"/>
</calcChain>
</file>

<file path=xl/sharedStrings.xml><?xml version="1.0" encoding="utf-8"?>
<sst xmlns="http://schemas.openxmlformats.org/spreadsheetml/2006/main" count="79" uniqueCount="52">
  <si>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</si>
  <si>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</si>
  <si>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</si>
  <si>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</si>
  <si>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</si>
  <si>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</si>
  <si>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</si>
  <si>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</si>
  <si>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</si>
  <si>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</si>
  <si>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</si>
  <si>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</si>
  <si>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</si>
  <si>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</si>
  <si>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</si>
  <si>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2007</t>
  </si>
  <si>
    <t>001289</t>
  </si>
  <si>
    <t>1289</t>
  </si>
  <si>
    <t>2008</t>
  </si>
  <si>
    <t>1117</t>
  </si>
  <si>
    <t>Liq 53330830</t>
  </si>
  <si>
    <t>2679</t>
  </si>
  <si>
    <t>1423522</t>
  </si>
  <si>
    <t>Liq 19573253</t>
  </si>
  <si>
    <t>589927</t>
  </si>
  <si>
    <t>1182031</t>
  </si>
  <si>
    <t>Liq 19558970</t>
  </si>
  <si>
    <t>857297</t>
  </si>
  <si>
    <t>2676</t>
  </si>
  <si>
    <t>001288</t>
  </si>
  <si>
    <t>002673</t>
  </si>
  <si>
    <t>1094681</t>
  </si>
  <si>
    <t>Liq 52747391</t>
  </si>
  <si>
    <t>103955</t>
  </si>
  <si>
    <t>2681</t>
  </si>
  <si>
    <t>1273551</t>
  </si>
  <si>
    <t>Liq 53359904</t>
  </si>
  <si>
    <t>2009</t>
  </si>
  <si>
    <t>171388</t>
  </si>
  <si>
    <t>1290</t>
  </si>
  <si>
    <t>2685</t>
  </si>
  <si>
    <t>001290</t>
  </si>
  <si>
    <t>2640</t>
  </si>
  <si>
    <t>2688</t>
  </si>
  <si>
    <t>68682388</t>
  </si>
  <si>
    <t>Liq 19578526</t>
  </si>
  <si>
    <t>01290</t>
  </si>
  <si>
    <t>2686</t>
  </si>
  <si>
    <t>38412048</t>
  </si>
  <si>
    <t>Liq 52747436</t>
  </si>
  <si>
    <t>007143</t>
  </si>
  <si>
    <t>1278570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</si>
</sst>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130" zoomScaleNormal="130" workbookViewId="0">
      <selection activeCell="L13" sqref="L13:L14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2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46007</v>
      </c>
      <c r="B2" s="11" t="s">
        <v>20</v>
      </c>
      <c r="C2" s="14" t="s">
        <v>16</v>
      </c>
      <c r="D2" s="13" t="s">
        <v>21</v>
      </c>
      <c r="E2" s="11">
        <v>71.59</v>
      </c>
      <c r="F2" s="11">
        <v>60.49</v>
      </c>
      <c r="G2" s="11">
        <v>3.31</v>
      </c>
      <c r="H2" s="11">
        <v>1.25</v>
      </c>
      <c r="I2" s="11">
        <v>6.54</v>
      </c>
      <c r="J2" s="11">
        <v>9.34</v>
      </c>
      <c r="K2" s="13" t="s">
        <v>22</v>
      </c>
      <c r="L2" s="11" t="s">
        <v>14</v>
      </c>
      <c r="M2" s="11"/>
    </row>
    <row r="3" spans="1:14" x14ac:dyDescent="0.25">
      <c r="A3" s="10">
        <v>46007</v>
      </c>
      <c r="B3" s="11" t="s">
        <v>23</v>
      </c>
      <c r="C3" s="14" t="s">
        <v>18</v>
      </c>
      <c r="D3" s="13" t="s">
        <v>24</v>
      </c>
      <c r="E3" s="11">
        <v>82.3</v>
      </c>
      <c r="F3" s="11">
        <v>76.83</v>
      </c>
      <c r="G3" s="11">
        <v>3.8</v>
      </c>
      <c r="H3" s="11">
        <v>1.65</v>
      </c>
      <c r="I3" s="11">
        <v>0.02</v>
      </c>
      <c r="J3" s="11">
        <v>0.03</v>
      </c>
      <c r="K3" s="13" t="s">
        <v>25</v>
      </c>
      <c r="L3" s="11" t="s">
        <v>14</v>
      </c>
      <c r="M3" s="11"/>
    </row>
    <row r="4" spans="1:14" x14ac:dyDescent="0.25">
      <c r="A4" s="10">
        <v>46007</v>
      </c>
      <c r="B4" s="11" t="s">
        <v>26</v>
      </c>
      <c r="C4" s="14" t="s">
        <v>15</v>
      </c>
      <c r="D4" s="13" t="s">
        <v>27</v>
      </c>
      <c r="E4" s="11">
        <v>12.62</v>
      </c>
      <c r="F4" s="11">
        <v>11.79</v>
      </c>
      <c r="G4" s="11">
        <v>0.57999999999999996</v>
      </c>
      <c r="H4" s="11">
        <f>12.62*2%</f>
        <v>0.25240000000000001</v>
      </c>
      <c r="I4" s="11">
        <v>0</v>
      </c>
      <c r="J4" s="11">
        <v>0</v>
      </c>
      <c r="K4" s="13" t="s">
        <v>31</v>
      </c>
      <c r="L4" s="11" t="s">
        <v>14</v>
      </c>
      <c r="M4" s="11"/>
    </row>
    <row r="5" spans="1:14" x14ac:dyDescent="0.25">
      <c r="A5" s="10">
        <v>46007</v>
      </c>
      <c r="B5" s="11" t="s">
        <v>26</v>
      </c>
      <c r="C5" s="14" t="s">
        <v>17</v>
      </c>
      <c r="D5" s="13" t="s">
        <v>28</v>
      </c>
      <c r="E5" s="11">
        <v>19.010000000000002</v>
      </c>
      <c r="F5" s="11">
        <v>16.059999999999999</v>
      </c>
      <c r="G5" s="11">
        <v>0.88</v>
      </c>
      <c r="H5" s="11">
        <f>16.53*2%</f>
        <v>0.3306</v>
      </c>
      <c r="I5" s="11">
        <v>1.74</v>
      </c>
      <c r="J5" s="11">
        <v>2.48</v>
      </c>
      <c r="K5" s="13" t="s">
        <v>31</v>
      </c>
      <c r="L5" s="11" t="s">
        <v>14</v>
      </c>
      <c r="M5" s="11"/>
    </row>
    <row r="6" spans="1:14" x14ac:dyDescent="0.25">
      <c r="A6" s="10">
        <v>46007</v>
      </c>
      <c r="B6" s="11" t="s">
        <v>26</v>
      </c>
      <c r="C6" s="14" t="s">
        <v>29</v>
      </c>
      <c r="D6" s="13" t="s">
        <v>30</v>
      </c>
      <c r="E6" s="11">
        <v>23.4</v>
      </c>
      <c r="F6" s="11">
        <v>19.77</v>
      </c>
      <c r="G6" s="11">
        <v>1.08</v>
      </c>
      <c r="H6" s="11">
        <f>20.35*2%</f>
        <v>0.40700000000000003</v>
      </c>
      <c r="I6" s="11">
        <v>2.14</v>
      </c>
      <c r="J6" s="11">
        <v>3.05</v>
      </c>
      <c r="K6" s="13" t="s">
        <v>31</v>
      </c>
      <c r="L6" s="11" t="s">
        <v>14</v>
      </c>
      <c r="M6" s="11"/>
    </row>
    <row r="7" spans="1:14" x14ac:dyDescent="0.25">
      <c r="A7" s="10">
        <v>46007</v>
      </c>
      <c r="B7" s="11" t="s">
        <v>32</v>
      </c>
      <c r="C7" s="14" t="s">
        <v>15</v>
      </c>
      <c r="D7" s="13" t="s">
        <v>33</v>
      </c>
      <c r="E7" s="11">
        <v>36</v>
      </c>
      <c r="F7" s="11">
        <v>33.619999999999997</v>
      </c>
      <c r="G7" s="11">
        <v>1.66</v>
      </c>
      <c r="H7" s="11">
        <v>0.72</v>
      </c>
      <c r="I7" s="11">
        <v>0</v>
      </c>
      <c r="J7" s="11">
        <v>0</v>
      </c>
      <c r="K7" s="13" t="s">
        <v>35</v>
      </c>
      <c r="L7" s="11" t="s">
        <v>14</v>
      </c>
      <c r="M7" s="11"/>
    </row>
    <row r="8" spans="1:14" x14ac:dyDescent="0.25">
      <c r="A8" s="10">
        <v>46007</v>
      </c>
      <c r="B8" s="11" t="s">
        <v>32</v>
      </c>
      <c r="C8" s="14" t="s">
        <v>17</v>
      </c>
      <c r="D8" s="13" t="s">
        <v>34</v>
      </c>
      <c r="E8" s="11">
        <v>21.79</v>
      </c>
      <c r="F8" s="11">
        <v>18.41</v>
      </c>
      <c r="G8" s="11">
        <v>1.01</v>
      </c>
      <c r="H8" s="11">
        <v>0.38</v>
      </c>
      <c r="I8" s="11">
        <v>1.99</v>
      </c>
      <c r="J8" s="11">
        <v>2.84</v>
      </c>
      <c r="K8" s="13" t="s">
        <v>35</v>
      </c>
      <c r="L8" s="11" t="s">
        <v>14</v>
      </c>
      <c r="M8" s="11"/>
    </row>
    <row r="9" spans="1:14" x14ac:dyDescent="0.25">
      <c r="A9" s="10">
        <v>46007</v>
      </c>
      <c r="B9" s="11" t="s">
        <v>36</v>
      </c>
      <c r="C9" s="12" t="s">
        <v>37</v>
      </c>
      <c r="D9" s="13" t="s">
        <v>38</v>
      </c>
      <c r="E9" s="11">
        <v>72.27</v>
      </c>
      <c r="F9" s="11">
        <f>E9-G9-H9-I9</f>
        <v>69.16</v>
      </c>
      <c r="G9" s="11">
        <v>1.66</v>
      </c>
      <c r="H9" s="11">
        <v>1.45</v>
      </c>
      <c r="I9" s="11">
        <v>0</v>
      </c>
      <c r="J9" s="11">
        <v>0</v>
      </c>
      <c r="K9" s="19" t="s">
        <v>44</v>
      </c>
      <c r="L9" s="11" t="s">
        <v>14</v>
      </c>
      <c r="M9" s="11"/>
    </row>
    <row r="10" spans="1:14" x14ac:dyDescent="0.25">
      <c r="A10" s="10">
        <v>46007</v>
      </c>
      <c r="B10" s="11" t="s">
        <v>36</v>
      </c>
      <c r="C10" s="12" t="s">
        <v>39</v>
      </c>
      <c r="D10" s="13" t="s">
        <v>40</v>
      </c>
      <c r="E10" s="11">
        <v>8.5</v>
      </c>
      <c r="F10" s="11">
        <f t="shared" ref="F10:F12" si="0">E10-G10-H10-I10</f>
        <v>7.37</v>
      </c>
      <c r="G10" s="11">
        <v>0.2</v>
      </c>
      <c r="H10" s="11">
        <v>0.15</v>
      </c>
      <c r="I10" s="11">
        <v>0.78</v>
      </c>
      <c r="J10" s="11">
        <v>1.1100000000000001</v>
      </c>
      <c r="K10" s="19" t="s">
        <v>44</v>
      </c>
      <c r="L10" s="11" t="s">
        <v>14</v>
      </c>
      <c r="M10" s="11"/>
    </row>
    <row r="11" spans="1:14" x14ac:dyDescent="0.25">
      <c r="A11" s="10">
        <v>46007</v>
      </c>
      <c r="B11" s="11" t="s">
        <v>36</v>
      </c>
      <c r="C11" s="12" t="s">
        <v>41</v>
      </c>
      <c r="D11" s="13" t="s">
        <v>42</v>
      </c>
      <c r="E11" s="11">
        <v>32.4</v>
      </c>
      <c r="F11" s="11">
        <f t="shared" si="0"/>
        <v>31</v>
      </c>
      <c r="G11" s="11">
        <v>0.75</v>
      </c>
      <c r="H11" s="11">
        <v>0.65</v>
      </c>
      <c r="I11" s="11">
        <v>0</v>
      </c>
      <c r="J11" s="11">
        <v>0</v>
      </c>
      <c r="K11" s="19" t="s">
        <v>44</v>
      </c>
      <c r="L11" s="11" t="s">
        <v>14</v>
      </c>
      <c r="M11" s="11"/>
    </row>
    <row r="12" spans="1:14" x14ac:dyDescent="0.25">
      <c r="A12" s="10">
        <v>46007</v>
      </c>
      <c r="B12" s="11" t="s">
        <v>36</v>
      </c>
      <c r="C12" s="12" t="s">
        <v>39</v>
      </c>
      <c r="D12" s="13" t="s">
        <v>43</v>
      </c>
      <c r="E12" s="11">
        <v>17.91</v>
      </c>
      <c r="F12" s="11">
        <f t="shared" si="0"/>
        <v>15.55</v>
      </c>
      <c r="G12" s="11">
        <v>0.41</v>
      </c>
      <c r="H12" s="11">
        <v>0.31</v>
      </c>
      <c r="I12" s="11">
        <v>1.64</v>
      </c>
      <c r="J12" s="11">
        <v>2.34</v>
      </c>
      <c r="K12" s="19" t="s">
        <v>44</v>
      </c>
      <c r="L12" s="11" t="s">
        <v>14</v>
      </c>
      <c r="M12" s="11"/>
    </row>
    <row r="13" spans="1:14" x14ac:dyDescent="0.25">
      <c r="A13" s="10">
        <v>46007</v>
      </c>
      <c r="B13" s="11" t="s">
        <v>45</v>
      </c>
      <c r="C13" s="12" t="s">
        <v>46</v>
      </c>
      <c r="D13" s="13" t="s">
        <v>47</v>
      </c>
      <c r="E13" s="11">
        <v>8.6</v>
      </c>
      <c r="F13" s="11">
        <v>7.47</v>
      </c>
      <c r="G13" s="11">
        <v>0.2</v>
      </c>
      <c r="H13" s="11">
        <v>0.15</v>
      </c>
      <c r="I13" s="11">
        <v>0.78</v>
      </c>
      <c r="J13" s="11">
        <v>1.1200000000000001</v>
      </c>
      <c r="K13" s="13" t="s">
        <v>48</v>
      </c>
      <c r="L13" s="11" t="s">
        <v>14</v>
      </c>
      <c r="M13" s="11"/>
    </row>
    <row r="14" spans="1:14" x14ac:dyDescent="0.25">
      <c r="A14" s="10">
        <v>46007</v>
      </c>
      <c r="B14" s="11" t="s">
        <v>49</v>
      </c>
      <c r="C14" s="8" t="s">
        <v>19</v>
      </c>
      <c r="D14" s="9" t="s">
        <v>50</v>
      </c>
      <c r="E14" s="7">
        <v>6.3</v>
      </c>
      <c r="F14" s="11">
        <v>5.65</v>
      </c>
      <c r="G14" s="11">
        <v>0.28999999999999998</v>
      </c>
      <c r="H14" s="11">
        <v>0.11</v>
      </c>
      <c r="I14" s="11">
        <v>0.25</v>
      </c>
      <c r="J14" s="7">
        <v>0.82</v>
      </c>
      <c r="K14" s="13" t="s">
        <v>51</v>
      </c>
      <c r="L14" s="11" t="s">
        <v>14</v>
      </c>
    </row>
    <row r="15" spans="1:14" x14ac:dyDescent="0.25">
      <c r="A15" s="10"/>
      <c r="B15" s="11"/>
      <c r="C15" s="8"/>
      <c r="D15" s="9"/>
      <c r="E15" s="7"/>
      <c r="G15" s="11"/>
      <c r="H15" s="11"/>
      <c r="I15" s="11"/>
      <c r="J15" s="7"/>
      <c r="K15" s="13"/>
      <c r="L15" s="11"/>
    </row>
    <row r="16" spans="1:14" x14ac:dyDescent="0.25">
      <c r="A16" s="10"/>
      <c r="B16" s="11"/>
      <c r="C16" s="16"/>
      <c r="E16" s="11"/>
      <c r="G16" s="11"/>
      <c r="H16" s="11"/>
      <c r="I16" s="11"/>
      <c r="J16" s="11"/>
      <c r="K16" s="13"/>
      <c r="L16" s="11"/>
    </row>
    <row r="17" spans="1:12" x14ac:dyDescent="0.25">
      <c r="A17" s="10"/>
      <c r="B17" s="11"/>
      <c r="C17" s="16"/>
      <c r="D17" s="19"/>
      <c r="E17" s="11"/>
      <c r="G17" s="11"/>
      <c r="H17" s="11"/>
      <c r="I17" s="11"/>
      <c r="J17" s="11"/>
      <c r="K17" s="13"/>
      <c r="L17" s="11"/>
    </row>
    <row r="18" spans="1:12" x14ac:dyDescent="0.25">
      <c r="A18" s="10"/>
      <c r="B18" s="11"/>
      <c r="C18" s="16"/>
      <c r="D18" s="19"/>
      <c r="E18" s="11"/>
      <c r="G18" s="11"/>
      <c r="H18" s="11"/>
      <c r="I18" s="11"/>
      <c r="J18" s="11"/>
      <c r="K18" s="21"/>
      <c r="L18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2026-02-10T17:14:09Z</dcterms:modified>
  <cp:revision>65</cp:revision>
</cp:coreProperties>
</file>