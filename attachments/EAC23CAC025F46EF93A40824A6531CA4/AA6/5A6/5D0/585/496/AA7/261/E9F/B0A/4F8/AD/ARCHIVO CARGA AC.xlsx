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552D73F5-66EF-44D1-AB1A-577699FF7F25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9"/>
  <extLs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F4" i="1" l="1"/>
  <c r="F3" i="1"/>
  <c r="F2" i="1"/>
</calcChain>
</file>

<file path=xl/sharedStrings.xml><?xml version="1.0" encoding="utf-8"?>
<sst xmlns="http://schemas.openxmlformats.org/spreadsheetml/2006/main" count="43" uniqueCount="32">
  <si>
    <t>Fecha deposito (dd/mm/aaaa)</t>
  </si>
  <si>
    <t>Lote</t>
  </si>
  <si>
    <t>Recap</t>
  </si>
  <si>
    <t>Importe</t>
  </si>
  <si>
    <t>Valor Acreditado</t>
  </si>
  <si>
    <t>Comision</t>
  </si>
  <si>
    <t>Ret. renta</t>
  </si>
  <si>
    <t>Ret. iva</t>
  </si>
  <si>
    <t>Iva</t>
  </si>
  <si>
    <t>Ref. deposito</t>
  </si>
  <si>
    <t>Liquidado (Y/N)</t>
  </si>
  <si>
    <t>C. Costos</t>
  </si>
  <si>
    <t>Usuario</t>
  </si>
  <si>
    <t>N</t>
  </si>
  <si>
    <t>ID de Lote Agrupador</t>
  </si>
  <si>
    <t>001280</t>
  </si>
  <si>
    <t>Liq 20</t>
  </si>
  <si>
    <t>2404</t>
  </si>
  <si>
    <t>913252</t>
  </si>
  <si>
    <t>751942</t>
  </si>
  <si>
    <t>744145</t>
  </si>
  <si>
    <t>Liq 13</t>
  </si>
  <si>
    <t>Liq 14</t>
  </si>
  <si>
    <t>Liq 15</t>
  </si>
  <si>
    <t>Liq 16</t>
  </si>
  <si>
    <t>Liq 17</t>
  </si>
  <si>
    <t>Liq 18</t>
  </si>
  <si>
    <t>Liq 19</t>
  </si>
  <si>
    <t>001264</t>
  </si>
  <si>
    <t>002479</t>
  </si>
  <si>
    <t>47915897</t>
  </si>
  <si>
    <t>2403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</si>
</sst>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;@"/>
  </numFmts>
  <fonts count="9" x14ac:knownFonts="1">
    <font>
      <sz val="11"/>
      <color rgb="FF000000"/>
      <name val="Calibri"/>
      <charset val="1"/>
    </font>
    <font>
      <b/>
      <sz val="10"/>
      <color rgb="FF000000"/>
      <name val="Calibri"/>
      <family val="2"/>
    </font>
    <font>
      <b/>
      <sz val="10"/>
      <color rgb="FFEE0000"/>
      <name val="Calibri"/>
      <family val="2"/>
    </font>
    <font>
      <sz val="10"/>
      <color rgb="FF000000"/>
      <name val="Calibri"/>
      <family val="2"/>
    </font>
    <font>
      <sz val="8"/>
      <name val="Calibri"/>
      <family val="2"/>
    </font>
    <font>
      <sz val="11"/>
      <color theme="5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3" fillId="0" borderId="0" xfId="0" applyFont="1"/>
    <xf numFmtId="0" fontId="5" fillId="0" borderId="0" xfId="0" applyFont="1"/>
    <xf numFmtId="49" fontId="6" fillId="0" borderId="0" xfId="0" applyNumberFormat="1" applyFont="1"/>
    <xf numFmtId="165" fontId="5" fillId="0" borderId="0" xfId="0" applyNumberFormat="1" applyFont="1"/>
    <xf numFmtId="0" fontId="7" fillId="0" borderId="0" xfId="0" applyFont="1"/>
    <xf numFmtId="49" fontId="8" fillId="0" borderId="0" xfId="0" applyNumberFormat="1" applyFont="1"/>
    <xf numFmtId="0" fontId="1" fillId="0" borderId="0" xfId="0" applyFont="1" applyAlignment="1">
      <alignment horizontal="left" vertical="center"/>
    </xf>
    <xf numFmtId="49" fontId="6" fillId="0" borderId="0" xfId="0" applyNumberFormat="1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zoomScale="130" zoomScaleNormal="130" workbookViewId="0">
      <selection activeCell="A10" sqref="A10:B14"/>
    </sheetView>
  </sheetViews>
  <sheetFormatPr baseColWidth="10" defaultColWidth="8.5703125" defaultRowHeight="15" x14ac:dyDescent="0.25"/>
  <cols>
    <col min="1" max="1" width="14.140625" customWidth="1"/>
    <col min="2" max="2" width="10.7109375" customWidth="1"/>
    <col min="3" max="3" width="7.28515625" customWidth="1"/>
    <col min="4" max="4" width="14" style="13" customWidth="1"/>
    <col min="6" max="6" width="9.7109375" customWidth="1"/>
    <col min="11" max="11" width="13.7109375" customWidth="1"/>
    <col min="13" max="13" width="27.7109375" customWidth="1"/>
    <col min="14" max="14" width="17" customWidth="1"/>
  </cols>
  <sheetData>
    <row r="1" spans="1:14" s="5" customFormat="1" ht="34.5" customHeight="1" x14ac:dyDescent="0.2">
      <c r="A1" s="1" t="s">
        <v>0</v>
      </c>
      <c r="B1" s="2" t="s">
        <v>14</v>
      </c>
      <c r="C1" s="3" t="s">
        <v>1</v>
      </c>
      <c r="D1" s="11" t="s">
        <v>2</v>
      </c>
      <c r="E1" s="3" t="s">
        <v>3</v>
      </c>
      <c r="F1" s="1" t="s">
        <v>4</v>
      </c>
      <c r="G1" s="3" t="s">
        <v>5</v>
      </c>
      <c r="H1" s="4" t="s">
        <v>6</v>
      </c>
      <c r="I1" s="4" t="s">
        <v>7</v>
      </c>
      <c r="J1" s="4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s="6" customFormat="1" x14ac:dyDescent="0.25">
      <c r="A2" s="8">
        <v>45993</v>
      </c>
      <c r="B2" s="6" t="s">
        <v>21</v>
      </c>
      <c r="C2" s="7" t="s">
        <v>17</v>
      </c>
      <c r="D2" s="12" t="s">
        <v>18</v>
      </c>
      <c r="E2" s="9">
        <v>37.99</v>
      </c>
      <c r="F2">
        <f>E2-G2-H2-I2</f>
        <v>35.470000000000006</v>
      </c>
      <c r="G2">
        <v>1.76</v>
      </c>
      <c r="H2">
        <v>0.76</v>
      </c>
      <c r="I2">
        <v>0</v>
      </c>
      <c r="J2" s="6">
        <v>0</v>
      </c>
      <c r="K2" s="10">
        <v>1061806</v>
      </c>
      <c r="L2" s="6" t="s">
        <v>13</v>
      </c>
      <c r="M2"/>
    </row>
    <row r="3" spans="1:14" s="6" customFormat="1" x14ac:dyDescent="0.25">
      <c r="A3" s="8">
        <v>45993</v>
      </c>
      <c r="B3" s="6" t="s">
        <v>22</v>
      </c>
      <c r="C3" s="7" t="s">
        <v>17</v>
      </c>
      <c r="D3" s="12" t="s">
        <v>19</v>
      </c>
      <c r="E3" s="9">
        <v>73.13</v>
      </c>
      <c r="F3">
        <f t="shared" ref="F3:F4" si="0">E3-G3-H3-I3</f>
        <v>68.290000000000006</v>
      </c>
      <c r="G3">
        <v>3.38</v>
      </c>
      <c r="H3">
        <v>1.46</v>
      </c>
      <c r="I3">
        <v>0</v>
      </c>
      <c r="J3" s="6">
        <v>0</v>
      </c>
      <c r="K3" s="10">
        <v>1061806</v>
      </c>
      <c r="L3" s="6" t="s">
        <v>13</v>
      </c>
      <c r="M3"/>
    </row>
    <row r="4" spans="1:14" x14ac:dyDescent="0.25">
      <c r="A4" s="8">
        <v>45993</v>
      </c>
      <c r="B4" s="6" t="s">
        <v>23</v>
      </c>
      <c r="C4" s="7" t="s">
        <v>17</v>
      </c>
      <c r="D4" s="12" t="s">
        <v>20</v>
      </c>
      <c r="E4" s="9">
        <v>27.28</v>
      </c>
      <c r="F4">
        <f t="shared" si="0"/>
        <v>25.330000000000002</v>
      </c>
      <c r="G4">
        <v>1.26</v>
      </c>
      <c r="H4">
        <v>0.54</v>
      </c>
      <c r="I4">
        <v>0.15</v>
      </c>
      <c r="J4" s="6">
        <v>0</v>
      </c>
      <c r="K4" s="10">
        <v>1061806</v>
      </c>
      <c r="L4" s="6" t="s">
        <v>13</v>
      </c>
    </row>
    <row r="5" spans="1:14" x14ac:dyDescent="0.25">
      <c r="A5" s="8">
        <v>45993</v>
      </c>
      <c r="B5" s="6" t="s">
        <v>24</v>
      </c>
      <c r="C5" s="7" t="s">
        <v>28</v>
      </c>
      <c r="D5" s="12" t="s">
        <v>29</v>
      </c>
      <c r="E5" s="9">
        <v>8.4</v>
      </c>
      <c r="F5">
        <v>7.73</v>
      </c>
      <c r="G5">
        <v>0.19</v>
      </c>
      <c r="H5">
        <v>0.15</v>
      </c>
      <c r="I5">
        <v>0.33</v>
      </c>
      <c r="J5" s="6">
        <v>0</v>
      </c>
      <c r="K5" s="7" t="s">
        <v>30</v>
      </c>
      <c r="L5" s="6" t="s">
        <v>13</v>
      </c>
    </row>
    <row r="6" spans="1:14" x14ac:dyDescent="0.25">
      <c r="A6" s="8">
        <v>45993</v>
      </c>
      <c r="B6" s="6" t="s">
        <v>25</v>
      </c>
      <c r="C6" s="7" t="s">
        <v>31</v>
      </c>
      <c r="D6" s="13">
        <v>856750</v>
      </c>
      <c r="E6" s="9">
        <v>39.299999999999997</v>
      </c>
      <c r="F6">
        <v>36.68</v>
      </c>
      <c r="G6">
        <v>1.82</v>
      </c>
      <c r="H6">
        <v>0.79</v>
      </c>
      <c r="I6">
        <v>0.01</v>
      </c>
      <c r="J6" s="6">
        <v>0</v>
      </c>
      <c r="K6" s="10">
        <v>1160516</v>
      </c>
      <c r="L6" s="6" t="s">
        <v>13</v>
      </c>
    </row>
    <row r="7" spans="1:14" x14ac:dyDescent="0.25">
      <c r="A7" s="8">
        <v>45993</v>
      </c>
      <c r="B7" s="6" t="s">
        <v>26</v>
      </c>
      <c r="C7" s="7" t="s">
        <v>31</v>
      </c>
      <c r="D7" s="13">
        <v>11420</v>
      </c>
      <c r="E7" s="9">
        <v>32.19</v>
      </c>
      <c r="F7">
        <v>30.06</v>
      </c>
      <c r="G7">
        <v>1.49</v>
      </c>
      <c r="H7">
        <v>0.64</v>
      </c>
      <c r="I7">
        <v>0</v>
      </c>
      <c r="J7" s="6">
        <v>0</v>
      </c>
      <c r="K7" s="10">
        <v>1295065</v>
      </c>
      <c r="L7" s="6" t="s">
        <v>13</v>
      </c>
    </row>
    <row r="8" spans="1:14" x14ac:dyDescent="0.25">
      <c r="A8" s="8">
        <v>45993</v>
      </c>
      <c r="B8" s="6" t="s">
        <v>27</v>
      </c>
      <c r="C8" s="7" t="s">
        <v>15</v>
      </c>
      <c r="D8" s="13">
        <v>1280</v>
      </c>
      <c r="E8" s="9">
        <v>23.9</v>
      </c>
      <c r="F8">
        <v>20.2</v>
      </c>
      <c r="G8">
        <v>1.1000000000000001</v>
      </c>
      <c r="H8">
        <v>0.42</v>
      </c>
      <c r="I8">
        <v>2.1800000000000002</v>
      </c>
      <c r="J8" s="6">
        <v>0</v>
      </c>
      <c r="K8" s="10">
        <v>1295065</v>
      </c>
      <c r="L8" s="6" t="s">
        <v>13</v>
      </c>
    </row>
    <row r="9" spans="1:14" x14ac:dyDescent="0.25">
      <c r="A9" s="8">
        <v>45993</v>
      </c>
      <c r="B9" s="6" t="s">
        <v>16</v>
      </c>
      <c r="C9" s="7" t="s">
        <v>15</v>
      </c>
      <c r="D9" s="13">
        <v>2601</v>
      </c>
      <c r="E9" s="9">
        <v>9.6</v>
      </c>
      <c r="F9">
        <v>8.11</v>
      </c>
      <c r="G9">
        <v>0.44</v>
      </c>
      <c r="H9">
        <v>0.17</v>
      </c>
      <c r="I9">
        <v>0.88</v>
      </c>
      <c r="J9" s="6">
        <v>0</v>
      </c>
      <c r="K9" s="10">
        <v>1004697</v>
      </c>
      <c r="L9" s="6" t="s">
        <v>13</v>
      </c>
    </row>
    <row r="10" spans="1:14" x14ac:dyDescent="0.25">
      <c r="A10" s="8"/>
      <c r="B10" s="6"/>
      <c r="C10" s="7"/>
      <c r="J10" s="6"/>
      <c r="L10" s="6"/>
    </row>
    <row r="11" spans="1:14" x14ac:dyDescent="0.25">
      <c r="A11" s="8"/>
      <c r="B11" s="6"/>
      <c r="C11" s="7"/>
      <c r="J11" s="6"/>
      <c r="L11" s="6"/>
    </row>
    <row r="12" spans="1:14" x14ac:dyDescent="0.25">
      <c r="A12" s="8"/>
      <c r="B12" s="6"/>
      <c r="C12" s="7"/>
      <c r="J12" s="6"/>
      <c r="L12" s="6"/>
    </row>
    <row r="13" spans="1:14" x14ac:dyDescent="0.25">
      <c r="A13" s="8"/>
    </row>
  </sheetData>
  <phoneticPr fontId="4" type="noConversion"/>
  <pageMargins left="0.70069444444444395" right="0.70069444444444395" top="0.75208333333333299" bottom="0.75208333333333299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2025-04-01T16:08:46Z</dcterms:created>
  <dc:creator>USUARIO</dc:creator>
  <dc:language>es-EC</dc:language>
  <cp:lastModifiedBy>Usuario</cp:lastModifiedBy>
  <dcterms:modified xsi:type="dcterms:W3CDTF">2026-02-03T19:00:31Z</dcterms:modified>
  <cp:revision>65</cp:revision>
</cp:coreProperties>
</file>