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74B9C467-A238-4BBD-8C47-2D3AEDE2CA0C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F5" i="1" l="1"/>
  <c r="F6" i="1"/>
  <c r="F4" i="1"/>
</calcChain>
</file>

<file path=xl/sharedStrings.xml><?xml version="1.0" encoding="utf-8"?>
<sst xmlns="http://schemas.openxmlformats.org/spreadsheetml/2006/main" count="39" uniqueCount="28">
  <si>
    <t>Fecha deposito (dd/mm/aaaa)</t>
  </si>
  <si>
    <t>Lote</t>
  </si>
  <si>
    <t>Recap</t>
  </si>
  <si>
    <t>Importe</t>
  </si>
  <si>
    <t>Valor Acreditado</t>
  </si>
  <si>
    <t>Comision</t>
  </si>
  <si>
    <t>Ret. renta</t>
  </si>
  <si>
    <t>Ret. iva</t>
  </si>
  <si>
    <t>Iva</t>
  </si>
  <si>
    <t>Ref. deposito</t>
  </si>
  <si>
    <t>Liquidado (Y/N)</t>
  </si>
  <si>
    <t>C. Costos</t>
  </si>
  <si>
    <t>Usuario</t>
  </si>
  <si>
    <t>ID de Lote Agrupador</t>
  </si>
  <si>
    <t>001286</t>
  </si>
  <si>
    <t>Liq 53265640</t>
  </si>
  <si>
    <t>1115</t>
  </si>
  <si>
    <t>007131</t>
  </si>
  <si>
    <t>1089269</t>
  </si>
  <si>
    <t>N</t>
  </si>
  <si>
    <t>2004</t>
  </si>
  <si>
    <t>47228</t>
  </si>
  <si>
    <t>1133145</t>
  </si>
  <si>
    <t>Liq 52693579</t>
  </si>
  <si>
    <t>Liq 19517748</t>
  </si>
  <si>
    <t>2652</t>
  </si>
  <si>
    <t>002649</t>
  </si>
  <si>
    <t>1006278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</si>
</sst>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8" x14ac:knownFonts="1">
    <font>
      <sz val="11"/>
      <color rgb="FF000000"/>
      <name val="Calibri"/>
      <charset val="1"/>
    </font>
    <font>
      <b/>
      <sz val="10"/>
      <color rgb="FF000000"/>
      <name val="Calibri"/>
      <family val="2"/>
    </font>
    <font>
      <b/>
      <sz val="10"/>
      <color rgb="FFEE0000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</font>
    <font>
      <sz val="11"/>
      <color theme="5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3" fillId="0" borderId="0" xfId="0" applyFont="1"/>
    <xf numFmtId="164" fontId="5" fillId="0" borderId="0" xfId="0" applyNumberFormat="1" applyFont="1"/>
    <xf numFmtId="49" fontId="0" fillId="0" borderId="0" xfId="0" applyNumberFormat="1"/>
    <xf numFmtId="49" fontId="6" fillId="0" borderId="0" xfId="0" applyNumberFormat="1" applyFont="1"/>
    <xf numFmtId="49" fontId="1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left"/>
    </xf>
    <xf numFmtId="0" fontId="6" fillId="0" borderId="0" xfId="0" applyFont="1"/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right"/>
    </xf>
    <xf numFmtId="164" fontId="7" fillId="0" borderId="0" xfId="0" applyNumberFormat="1" applyFont="1"/>
    <xf numFmtId="0" fontId="7" fillId="0" borderId="0" xfId="0" applyFont="1"/>
    <xf numFmtId="49" fontId="7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right"/>
    </xf>
    <xf numFmtId="49" fontId="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tabSelected="1" zoomScale="130" zoomScaleNormal="130" workbookViewId="0">
      <selection activeCell="G6" sqref="G6:I6"/>
    </sheetView>
  </sheetViews>
  <sheetFormatPr baseColWidth="10" defaultColWidth="8.5703125" defaultRowHeight="15" x14ac:dyDescent="0.25"/>
  <cols>
    <col min="1" max="1" width="14.140625" customWidth="1"/>
    <col min="2" max="2" width="13.7109375" customWidth="1"/>
    <col min="3" max="3" width="7.28515625" customWidth="1"/>
    <col min="4" max="4" width="14" style="10" customWidth="1"/>
    <col min="6" max="6" width="9.7109375" customWidth="1"/>
    <col min="9" max="9" width="11.85546875" bestFit="1" customWidth="1"/>
    <col min="11" max="11" width="13.7109375" customWidth="1"/>
    <col min="13" max="13" width="27.7109375" customWidth="1"/>
    <col min="14" max="14" width="17" customWidth="1"/>
  </cols>
  <sheetData>
    <row r="1" spans="1:14" s="5" customFormat="1" ht="34.5" customHeight="1" x14ac:dyDescent="0.2">
      <c r="A1" s="1" t="s">
        <v>0</v>
      </c>
      <c r="B1" s="2" t="s">
        <v>13</v>
      </c>
      <c r="C1" s="3" t="s">
        <v>1</v>
      </c>
      <c r="D1" s="9" t="s">
        <v>2</v>
      </c>
      <c r="E1" s="3" t="s">
        <v>3</v>
      </c>
      <c r="F1" s="1" t="s">
        <v>4</v>
      </c>
      <c r="G1" s="3" t="s">
        <v>5</v>
      </c>
      <c r="H1" s="4" t="s">
        <v>6</v>
      </c>
      <c r="I1" s="4" t="s">
        <v>7</v>
      </c>
      <c r="J1" s="4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4">
        <v>46002</v>
      </c>
      <c r="B2" s="15" t="s">
        <v>15</v>
      </c>
      <c r="C2" s="18" t="s">
        <v>16</v>
      </c>
      <c r="D2" s="17" t="s">
        <v>17</v>
      </c>
      <c r="E2" s="15">
        <v>45.3</v>
      </c>
      <c r="F2" s="15">
        <v>42.3</v>
      </c>
      <c r="G2" s="15">
        <v>2.09</v>
      </c>
      <c r="H2" s="15">
        <v>0.91</v>
      </c>
      <c r="I2" s="15">
        <v>0</v>
      </c>
      <c r="J2" s="15">
        <v>0</v>
      </c>
      <c r="K2" s="18" t="s">
        <v>18</v>
      </c>
      <c r="L2" s="15" t="s">
        <v>19</v>
      </c>
      <c r="M2" s="15"/>
    </row>
    <row r="3" spans="1:14" x14ac:dyDescent="0.25">
      <c r="A3" s="14">
        <v>46002</v>
      </c>
      <c r="B3" s="15" t="s">
        <v>23</v>
      </c>
      <c r="C3" s="18" t="s">
        <v>20</v>
      </c>
      <c r="D3" s="17" t="s">
        <v>21</v>
      </c>
      <c r="E3" s="15">
        <v>54.6</v>
      </c>
      <c r="F3" s="15">
        <v>50.99</v>
      </c>
      <c r="G3" s="15">
        <v>2.52</v>
      </c>
      <c r="H3" s="15">
        <v>1.0900000000000001</v>
      </c>
      <c r="I3" s="15">
        <v>0</v>
      </c>
      <c r="J3" s="15">
        <v>0</v>
      </c>
      <c r="K3" s="18" t="s">
        <v>22</v>
      </c>
      <c r="L3" s="15" t="s">
        <v>19</v>
      </c>
      <c r="M3" s="15"/>
    </row>
    <row r="4" spans="1:14" x14ac:dyDescent="0.25">
      <c r="A4" s="14">
        <v>46002</v>
      </c>
      <c r="B4" s="15" t="s">
        <v>24</v>
      </c>
      <c r="C4" s="18" t="s">
        <v>14</v>
      </c>
      <c r="D4" s="17" t="s">
        <v>25</v>
      </c>
      <c r="E4" s="15">
        <v>16.100000000000001</v>
      </c>
      <c r="F4" s="15">
        <f>E4-G4-H4-I4</f>
        <v>13.610000000000001</v>
      </c>
      <c r="G4" s="15">
        <v>0.74</v>
      </c>
      <c r="H4" s="15">
        <v>0.28000000000000003</v>
      </c>
      <c r="I4" s="15">
        <v>1.47</v>
      </c>
      <c r="J4" s="15">
        <v>2.1</v>
      </c>
      <c r="K4" s="18" t="s">
        <v>27</v>
      </c>
      <c r="L4" s="15" t="s">
        <v>19</v>
      </c>
      <c r="M4" s="15"/>
    </row>
    <row r="5" spans="1:14" x14ac:dyDescent="0.25">
      <c r="A5" s="14">
        <v>46002</v>
      </c>
      <c r="B5" s="15" t="s">
        <v>24</v>
      </c>
      <c r="C5" s="18" t="s">
        <v>14</v>
      </c>
      <c r="D5" s="17" t="s">
        <v>26</v>
      </c>
      <c r="E5" s="15">
        <v>16.61</v>
      </c>
      <c r="F5" s="15">
        <f t="shared" ref="F5:F6" si="0">E5-G5-H5-I5</f>
        <v>14.030000000000001</v>
      </c>
      <c r="G5" s="15">
        <v>0.77</v>
      </c>
      <c r="H5" s="15">
        <v>0.28999999999999998</v>
      </c>
      <c r="I5" s="15">
        <v>1.52</v>
      </c>
      <c r="J5" s="15">
        <v>2.17</v>
      </c>
      <c r="K5" s="18" t="s">
        <v>27</v>
      </c>
      <c r="L5" s="15" t="s">
        <v>19</v>
      </c>
      <c r="M5" s="15"/>
    </row>
    <row r="6" spans="1:14" x14ac:dyDescent="0.25">
      <c r="A6" s="14">
        <v>46002</v>
      </c>
      <c r="B6" s="15" t="s">
        <v>24</v>
      </c>
      <c r="C6" s="18" t="s">
        <v>14</v>
      </c>
      <c r="D6" s="17" t="s">
        <v>14</v>
      </c>
      <c r="E6" s="15">
        <v>8</v>
      </c>
      <c r="F6" s="15">
        <f t="shared" si="0"/>
        <v>6.76</v>
      </c>
      <c r="G6" s="15">
        <v>0.37</v>
      </c>
      <c r="H6" s="15">
        <v>0.14000000000000001</v>
      </c>
      <c r="I6" s="15">
        <v>0.73</v>
      </c>
      <c r="J6" s="15">
        <v>1.04</v>
      </c>
      <c r="K6" s="18" t="s">
        <v>27</v>
      </c>
      <c r="L6" s="15" t="s">
        <v>19</v>
      </c>
      <c r="M6" s="15"/>
    </row>
    <row r="7" spans="1:14" x14ac:dyDescent="0.25">
      <c r="A7" s="14"/>
      <c r="B7" s="15"/>
      <c r="C7" s="18"/>
      <c r="D7" s="17"/>
      <c r="E7" s="15"/>
      <c r="F7" s="15"/>
      <c r="G7" s="15"/>
      <c r="H7" s="15"/>
      <c r="I7" s="15"/>
      <c r="J7" s="15"/>
      <c r="K7" s="18"/>
      <c r="L7" s="15"/>
      <c r="M7" s="15"/>
    </row>
    <row r="8" spans="1:14" x14ac:dyDescent="0.25">
      <c r="A8" s="14"/>
      <c r="B8" s="15"/>
      <c r="C8" s="18"/>
      <c r="D8" s="17"/>
      <c r="E8" s="15"/>
      <c r="F8" s="15"/>
      <c r="G8" s="15"/>
      <c r="H8" s="15"/>
      <c r="I8" s="15"/>
      <c r="J8" s="15"/>
      <c r="K8" s="18"/>
      <c r="L8" s="15"/>
      <c r="M8" s="15"/>
    </row>
    <row r="9" spans="1:14" x14ac:dyDescent="0.25">
      <c r="A9" s="14"/>
      <c r="B9" s="15"/>
      <c r="C9" s="16"/>
      <c r="D9" s="17"/>
      <c r="E9" s="15"/>
      <c r="F9" s="15"/>
      <c r="G9" s="15"/>
      <c r="H9" s="15"/>
      <c r="I9" s="15"/>
      <c r="J9" s="15"/>
      <c r="K9" s="7"/>
      <c r="L9" s="15"/>
      <c r="M9" s="15"/>
    </row>
    <row r="10" spans="1:14" x14ac:dyDescent="0.25">
      <c r="A10" s="14"/>
      <c r="B10" s="15"/>
      <c r="C10" s="16"/>
      <c r="D10" s="17"/>
      <c r="E10" s="15"/>
      <c r="F10" s="15"/>
      <c r="G10" s="15"/>
      <c r="H10" s="15"/>
      <c r="I10" s="15"/>
      <c r="J10" s="15"/>
      <c r="K10" s="7"/>
      <c r="L10" s="15"/>
      <c r="M10" s="15"/>
    </row>
    <row r="11" spans="1:14" x14ac:dyDescent="0.25">
      <c r="A11" s="14"/>
      <c r="B11" s="15"/>
      <c r="C11" s="16"/>
      <c r="D11" s="17"/>
      <c r="E11" s="15"/>
      <c r="F11" s="15"/>
      <c r="G11" s="15"/>
      <c r="H11" s="15"/>
      <c r="I11" s="15"/>
      <c r="J11" s="15"/>
      <c r="K11" s="7"/>
      <c r="L11" s="15"/>
      <c r="M11" s="15"/>
    </row>
    <row r="12" spans="1:14" x14ac:dyDescent="0.25">
      <c r="A12" s="14"/>
      <c r="B12" s="15"/>
      <c r="C12" s="16"/>
      <c r="D12" s="17"/>
      <c r="E12" s="15"/>
      <c r="F12" s="15"/>
      <c r="G12" s="15"/>
      <c r="H12" s="15"/>
      <c r="I12" s="15"/>
      <c r="J12" s="15"/>
      <c r="K12" s="18"/>
      <c r="L12" s="15"/>
      <c r="M12" s="15"/>
    </row>
    <row r="13" spans="1:14" x14ac:dyDescent="0.25">
      <c r="A13" s="14"/>
      <c r="B13" s="15"/>
      <c r="C13" s="16"/>
      <c r="D13" s="17"/>
      <c r="E13" s="15"/>
      <c r="F13" s="15"/>
      <c r="G13" s="15"/>
      <c r="H13" s="15"/>
      <c r="I13" s="15"/>
      <c r="J13" s="15"/>
      <c r="K13" s="18"/>
      <c r="L13" s="15"/>
      <c r="M13" s="15"/>
    </row>
    <row r="14" spans="1:14" x14ac:dyDescent="0.25">
      <c r="A14" s="14"/>
      <c r="B14" s="15"/>
      <c r="C14" s="12"/>
      <c r="D14" s="13"/>
      <c r="E14" s="11"/>
      <c r="F14" s="11"/>
      <c r="G14" s="11"/>
      <c r="H14" s="11"/>
      <c r="I14" s="11"/>
      <c r="J14" s="11"/>
      <c r="K14" s="8"/>
      <c r="L14" s="11"/>
    </row>
    <row r="15" spans="1:14" x14ac:dyDescent="0.25">
      <c r="A15" s="11"/>
      <c r="B15" s="15"/>
      <c r="C15" s="12"/>
      <c r="D15" s="13"/>
      <c r="E15" s="11"/>
      <c r="F15" s="11"/>
      <c r="G15" s="11"/>
      <c r="H15" s="11"/>
      <c r="I15" s="11"/>
      <c r="J15" s="11"/>
      <c r="K15" s="11"/>
      <c r="L15" s="11"/>
    </row>
    <row r="16" spans="1:14" x14ac:dyDescent="0.25">
      <c r="A16" s="6"/>
      <c r="B16" s="15"/>
    </row>
    <row r="17" spans="1:2" x14ac:dyDescent="0.25">
      <c r="A17" s="6"/>
      <c r="B17" s="15"/>
    </row>
    <row r="18" spans="1:2" x14ac:dyDescent="0.25">
      <c r="B18" s="15"/>
    </row>
  </sheetData>
  <phoneticPr fontId="4" type="noConversion"/>
  <pageMargins left="0.70069444444444395" right="0.70069444444444395" top="0.75208333333333299" bottom="0.75208333333333299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2025-04-01T16:08:46Z</dcterms:created>
  <dc:creator>USUARIO</dc:creator>
  <dc:language>es-EC</dc:language>
  <cp:lastModifiedBy>Usuario</cp:lastModifiedBy>
  <dcterms:modified xsi:type="dcterms:W3CDTF">2026-02-09T16:30:09Z</dcterms:modified>
  <cp:revision>65</cp:revision>
</cp:coreProperties>
</file>