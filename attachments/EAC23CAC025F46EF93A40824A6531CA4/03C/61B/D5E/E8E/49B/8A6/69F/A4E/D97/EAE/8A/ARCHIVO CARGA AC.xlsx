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04B042F-DB56-4D73-AFDB-2FF80F38A3B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I31" i="1" l="1"/>
  <c r="I34" i="1"/>
  <c r="I37" i="1"/>
  <c r="F37" i="1" s="1"/>
  <c r="I26" i="1"/>
  <c r="I27" i="1"/>
  <c r="I29" i="1"/>
  <c r="I32" i="1"/>
  <c r="F25" i="1"/>
  <c r="F26" i="1"/>
  <c r="F27" i="1"/>
  <c r="F28" i="1"/>
  <c r="F29" i="1"/>
  <c r="F30" i="1"/>
  <c r="F31" i="1"/>
  <c r="F32" i="1"/>
  <c r="F33" i="1"/>
  <c r="F34" i="1"/>
  <c r="F35" i="1"/>
  <c r="F36" i="1"/>
  <c r="I20" i="1"/>
  <c r="F22" i="1"/>
  <c r="F23" i="1"/>
  <c r="F24" i="1"/>
  <c r="I18" i="1"/>
  <c r="F15" i="1"/>
  <c r="F16" i="1"/>
  <c r="F17" i="1"/>
  <c r="F18" i="1"/>
  <c r="F19" i="1"/>
  <c r="F20" i="1"/>
  <c r="F11" i="1"/>
  <c r="F12" i="1"/>
  <c r="F13" i="1"/>
  <c r="F14" i="1"/>
  <c r="F3" i="1"/>
  <c r="F4" i="1"/>
  <c r="F5" i="1"/>
  <c r="F6" i="1"/>
  <c r="F7" i="1"/>
  <c r="F8" i="1"/>
  <c r="I9" i="1"/>
  <c r="F9" i="1" s="1"/>
  <c r="F10" i="1"/>
  <c r="F2" i="1"/>
  <c r="F21" i="1"/>
</calcChain>
</file>

<file path=xl/sharedStrings.xml><?xml version="1.0" encoding="utf-8"?>
<sst xmlns="http://schemas.openxmlformats.org/spreadsheetml/2006/main" count="176" uniqueCount="90">
  <si>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</si>
  <si>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</si>
  <si>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</si>
  <si>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</si>
  <si>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</si>
  <si>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</si>
  <si>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</si>
  <si>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</si>
  <si>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</si>
  <si>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</si>
  <si>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</si>
  <si>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</si>
  <si>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</si>
  <si>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</si>
  <si>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</si>
  <si>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001295</t>
  </si>
  <si>
    <t>01296</t>
  </si>
  <si>
    <t>001296</t>
  </si>
  <si>
    <t>2015</t>
  </si>
  <si>
    <t>Liq 53522002</t>
  </si>
  <si>
    <t>2016</t>
  </si>
  <si>
    <t>165700</t>
  </si>
  <si>
    <t>709369</t>
  </si>
  <si>
    <t>458792</t>
  </si>
  <si>
    <t>001297</t>
  </si>
  <si>
    <t>002740</t>
  </si>
  <si>
    <t>116090217</t>
  </si>
  <si>
    <t>Liq 53505778</t>
  </si>
  <si>
    <t>002735</t>
  </si>
  <si>
    <t>2732</t>
  </si>
  <si>
    <t>1296</t>
  </si>
  <si>
    <t>002731</t>
  </si>
  <si>
    <t>464696</t>
  </si>
  <si>
    <t>50263790</t>
  </si>
  <si>
    <t>Liq 19684410</t>
  </si>
  <si>
    <t>784596</t>
  </si>
  <si>
    <t>89201593</t>
  </si>
  <si>
    <t>Liq 53495504</t>
  </si>
  <si>
    <t>1124</t>
  </si>
  <si>
    <t>007200</t>
  </si>
  <si>
    <t>67525283</t>
  </si>
  <si>
    <t>Liq 19667266</t>
  </si>
  <si>
    <t>001272</t>
  </si>
  <si>
    <t>2450</t>
  </si>
  <si>
    <t>33275621</t>
  </si>
  <si>
    <t>Liq 52884609</t>
  </si>
  <si>
    <t>2733</t>
  </si>
  <si>
    <t>2734</t>
  </si>
  <si>
    <t>2730</t>
  </si>
  <si>
    <t>63565</t>
  </si>
  <si>
    <t>50410365</t>
  </si>
  <si>
    <t>Liq 53522032</t>
  </si>
  <si>
    <t>1125</t>
  </si>
  <si>
    <t>007211</t>
  </si>
  <si>
    <t>007212</t>
  </si>
  <si>
    <t>116098585</t>
  </si>
  <si>
    <t>Liq 19684433</t>
  </si>
  <si>
    <t>002707</t>
  </si>
  <si>
    <t>007210</t>
  </si>
  <si>
    <t>89227156</t>
  </si>
  <si>
    <t>007206</t>
  </si>
  <si>
    <t>007208</t>
  </si>
  <si>
    <t>Liq 53530106</t>
  </si>
  <si>
    <t>007209</t>
  </si>
  <si>
    <t>Liq 53530087</t>
  </si>
  <si>
    <t>550551</t>
  </si>
  <si>
    <t>020388</t>
  </si>
  <si>
    <t>964539</t>
  </si>
  <si>
    <t>831095</t>
  </si>
  <si>
    <t>002741</t>
  </si>
  <si>
    <t>Liq 19690104</t>
  </si>
  <si>
    <t>2742</t>
  </si>
  <si>
    <t>Liq 53559459</t>
  </si>
  <si>
    <t>1126</t>
  </si>
  <si>
    <t>007220</t>
  </si>
  <si>
    <t>Liq 53578243</t>
  </si>
  <si>
    <t>1127</t>
  </si>
  <si>
    <t>007227</t>
  </si>
  <si>
    <t>00226</t>
  </si>
  <si>
    <t>Liq 53578211</t>
  </si>
  <si>
    <t>2018</t>
  </si>
  <si>
    <t>527309</t>
  </si>
  <si>
    <t>429872</t>
  </si>
  <si>
    <t>Liq 53559432</t>
  </si>
  <si>
    <t>001298</t>
  </si>
  <si>
    <t>002747</t>
  </si>
  <si>
    <t>002745</t>
  </si>
  <si>
    <t>Liq 19709095</t>
  </si>
  <si>
    <t>2017</t>
  </si>
  <si>
    <t>385201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</si>
</sst>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topLeftCell="A28" zoomScale="130" zoomScaleNormal="130" workbookViewId="0">
      <selection activeCell="B48" sqref="B48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1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46017</v>
      </c>
      <c r="B2" s="11" t="s">
        <v>19</v>
      </c>
      <c r="C2" s="14" t="s">
        <v>20</v>
      </c>
      <c r="D2" s="13" t="s">
        <v>21</v>
      </c>
      <c r="E2" s="11">
        <v>50.37</v>
      </c>
      <c r="F2" s="11">
        <f>E2-G2-H2-I2</f>
        <v>48.09</v>
      </c>
      <c r="G2" s="11">
        <v>1.1599999999999999</v>
      </c>
      <c r="H2" s="11">
        <v>1</v>
      </c>
      <c r="I2" s="11">
        <v>0.12</v>
      </c>
      <c r="J2" s="11">
        <v>0.17</v>
      </c>
      <c r="K2" s="13" t="s">
        <v>26</v>
      </c>
      <c r="L2" s="11" t="s">
        <v>14</v>
      </c>
      <c r="M2" s="11"/>
    </row>
    <row r="3" spans="1:14" x14ac:dyDescent="0.25">
      <c r="A3" s="10">
        <v>46017</v>
      </c>
      <c r="B3" s="11" t="s">
        <v>19</v>
      </c>
      <c r="C3" s="14" t="s">
        <v>20</v>
      </c>
      <c r="D3" s="13" t="s">
        <v>22</v>
      </c>
      <c r="E3" s="11">
        <v>24.2</v>
      </c>
      <c r="F3" s="11">
        <f t="shared" ref="F3:F43" si="0">E3-G3-H3-I3</f>
        <v>23.14</v>
      </c>
      <c r="G3" s="11">
        <v>0.56000000000000005</v>
      </c>
      <c r="H3" s="11">
        <v>0.48</v>
      </c>
      <c r="I3" s="11">
        <v>0.02</v>
      </c>
      <c r="J3" s="11">
        <v>0.03</v>
      </c>
      <c r="K3" s="13" t="s">
        <v>26</v>
      </c>
      <c r="L3" s="11" t="s">
        <v>14</v>
      </c>
      <c r="M3" s="11"/>
    </row>
    <row r="4" spans="1:14" x14ac:dyDescent="0.25">
      <c r="A4" s="10">
        <v>46017</v>
      </c>
      <c r="B4" s="11" t="s">
        <v>19</v>
      </c>
      <c r="C4" s="14" t="s">
        <v>20</v>
      </c>
      <c r="D4" s="13" t="s">
        <v>23</v>
      </c>
      <c r="E4" s="11">
        <v>26.4</v>
      </c>
      <c r="F4" s="11">
        <f t="shared" si="0"/>
        <v>25.22</v>
      </c>
      <c r="G4" s="11">
        <v>0.61</v>
      </c>
      <c r="H4" s="11">
        <v>0.53</v>
      </c>
      <c r="I4" s="11">
        <v>0.04</v>
      </c>
      <c r="J4" s="11">
        <v>0.06</v>
      </c>
      <c r="K4" s="13" t="s">
        <v>26</v>
      </c>
      <c r="L4" s="11" t="s">
        <v>14</v>
      </c>
      <c r="M4" s="11"/>
    </row>
    <row r="5" spans="1:14" x14ac:dyDescent="0.25">
      <c r="A5" s="10">
        <v>46017</v>
      </c>
      <c r="B5" s="11" t="s">
        <v>19</v>
      </c>
      <c r="C5" s="14" t="s">
        <v>24</v>
      </c>
      <c r="D5" s="13" t="s">
        <v>25</v>
      </c>
      <c r="E5" s="11">
        <v>19.79</v>
      </c>
      <c r="F5" s="11">
        <f t="shared" si="0"/>
        <v>17.18</v>
      </c>
      <c r="G5" s="11">
        <v>0.46</v>
      </c>
      <c r="H5" s="11">
        <v>0.34</v>
      </c>
      <c r="I5" s="11">
        <v>1.81</v>
      </c>
      <c r="J5" s="11">
        <v>2.58</v>
      </c>
      <c r="K5" s="13" t="s">
        <v>26</v>
      </c>
      <c r="L5" s="11" t="s">
        <v>14</v>
      </c>
      <c r="M5" s="11"/>
    </row>
    <row r="6" spans="1:14" x14ac:dyDescent="0.25">
      <c r="A6" s="10">
        <v>46017</v>
      </c>
      <c r="B6" s="11" t="s">
        <v>27</v>
      </c>
      <c r="C6" s="14" t="s">
        <v>17</v>
      </c>
      <c r="D6" s="13" t="s">
        <v>28</v>
      </c>
      <c r="E6" s="11">
        <v>20.79</v>
      </c>
      <c r="F6" s="11">
        <f t="shared" si="0"/>
        <v>17.57</v>
      </c>
      <c r="G6" s="11">
        <v>0.96</v>
      </c>
      <c r="H6" s="11">
        <v>0.36</v>
      </c>
      <c r="I6" s="11">
        <v>1.9</v>
      </c>
      <c r="J6" s="11">
        <v>2.71</v>
      </c>
      <c r="K6" s="13" t="s">
        <v>33</v>
      </c>
      <c r="L6" s="11" t="s">
        <v>14</v>
      </c>
      <c r="M6" s="11"/>
    </row>
    <row r="7" spans="1:14" x14ac:dyDescent="0.25">
      <c r="A7" s="10">
        <v>46017</v>
      </c>
      <c r="B7" s="11" t="s">
        <v>27</v>
      </c>
      <c r="C7" s="14" t="s">
        <v>15</v>
      </c>
      <c r="D7" s="13" t="s">
        <v>29</v>
      </c>
      <c r="E7" s="11">
        <v>47.3</v>
      </c>
      <c r="F7" s="11">
        <f t="shared" si="0"/>
        <v>39.97</v>
      </c>
      <c r="G7" s="11">
        <v>2.19</v>
      </c>
      <c r="H7" s="11">
        <v>0.82</v>
      </c>
      <c r="I7" s="11">
        <v>4.32</v>
      </c>
      <c r="J7" s="11">
        <v>6.17</v>
      </c>
      <c r="K7" s="13" t="s">
        <v>33</v>
      </c>
      <c r="L7" s="11" t="s">
        <v>14</v>
      </c>
      <c r="M7" s="11"/>
    </row>
    <row r="8" spans="1:14" x14ac:dyDescent="0.25">
      <c r="A8" s="10">
        <v>46017</v>
      </c>
      <c r="B8" s="11" t="s">
        <v>27</v>
      </c>
      <c r="C8" s="14" t="s">
        <v>17</v>
      </c>
      <c r="D8" s="13" t="s">
        <v>31</v>
      </c>
      <c r="E8" s="11">
        <v>10.1</v>
      </c>
      <c r="F8" s="11">
        <f t="shared" si="0"/>
        <v>8.5299999999999994</v>
      </c>
      <c r="G8" s="11">
        <v>0.47</v>
      </c>
      <c r="H8" s="11">
        <v>0.18</v>
      </c>
      <c r="I8" s="11">
        <v>0.92</v>
      </c>
      <c r="J8" s="11">
        <v>1.32</v>
      </c>
      <c r="K8" s="13" t="s">
        <v>33</v>
      </c>
      <c r="L8" s="11" t="s">
        <v>14</v>
      </c>
      <c r="M8" s="11"/>
    </row>
    <row r="9" spans="1:14" x14ac:dyDescent="0.25">
      <c r="A9" s="10">
        <v>46017</v>
      </c>
      <c r="B9" s="11" t="s">
        <v>27</v>
      </c>
      <c r="C9" s="12" t="s">
        <v>18</v>
      </c>
      <c r="D9" s="13" t="s">
        <v>32</v>
      </c>
      <c r="E9" s="11">
        <v>40.549999999999997</v>
      </c>
      <c r="F9" s="11">
        <f t="shared" si="0"/>
        <v>37.869999999999997</v>
      </c>
      <c r="G9" s="11">
        <v>1.87</v>
      </c>
      <c r="H9" s="11">
        <v>0.81</v>
      </c>
      <c r="I9" s="11">
        <f t="shared" ref="I3:I44" si="1">J9*0.7</f>
        <v>0</v>
      </c>
      <c r="J9" s="11">
        <v>0</v>
      </c>
      <c r="K9" s="13" t="s">
        <v>33</v>
      </c>
      <c r="L9" s="11" t="s">
        <v>14</v>
      </c>
      <c r="M9" s="11"/>
    </row>
    <row r="10" spans="1:14" x14ac:dyDescent="0.25">
      <c r="A10" s="10">
        <v>46017</v>
      </c>
      <c r="B10" s="11" t="s">
        <v>34</v>
      </c>
      <c r="C10" s="12" t="s">
        <v>20</v>
      </c>
      <c r="D10" s="13" t="s">
        <v>35</v>
      </c>
      <c r="E10" s="11">
        <v>35</v>
      </c>
      <c r="F10" s="11">
        <f t="shared" si="0"/>
        <v>33.18</v>
      </c>
      <c r="G10" s="11">
        <v>0.81</v>
      </c>
      <c r="H10" s="11">
        <v>0.69</v>
      </c>
      <c r="I10" s="11">
        <v>0.32</v>
      </c>
      <c r="J10" s="11">
        <v>0.46</v>
      </c>
      <c r="K10" s="13" t="s">
        <v>36</v>
      </c>
      <c r="L10" s="11" t="s">
        <v>14</v>
      </c>
      <c r="M10" s="11"/>
    </row>
    <row r="11" spans="1:14" x14ac:dyDescent="0.25">
      <c r="A11" s="10">
        <v>46015</v>
      </c>
      <c r="B11" s="11" t="s">
        <v>37</v>
      </c>
      <c r="C11" s="12" t="s">
        <v>38</v>
      </c>
      <c r="D11" s="13" t="s">
        <v>39</v>
      </c>
      <c r="E11" s="11">
        <v>37.020000000000003</v>
      </c>
      <c r="F11" s="11">
        <f t="shared" si="0"/>
        <v>35.43</v>
      </c>
      <c r="G11" s="11">
        <v>0.85</v>
      </c>
      <c r="H11" s="11">
        <v>0.74</v>
      </c>
      <c r="I11" s="11">
        <v>0</v>
      </c>
      <c r="J11" s="11">
        <v>0</v>
      </c>
      <c r="K11" s="13" t="s">
        <v>40</v>
      </c>
      <c r="L11" s="11" t="s">
        <v>14</v>
      </c>
      <c r="M11" s="11"/>
    </row>
    <row r="12" spans="1:14" x14ac:dyDescent="0.25">
      <c r="A12" s="10">
        <v>46015</v>
      </c>
      <c r="B12" s="11" t="s">
        <v>41</v>
      </c>
      <c r="C12" s="12" t="s">
        <v>42</v>
      </c>
      <c r="D12" s="13" t="s">
        <v>43</v>
      </c>
      <c r="E12" s="11">
        <v>7.99</v>
      </c>
      <c r="F12" s="11">
        <f t="shared" si="0"/>
        <v>7.3600000000000012</v>
      </c>
      <c r="G12" s="11">
        <v>0.18</v>
      </c>
      <c r="H12" s="11">
        <v>0.14000000000000001</v>
      </c>
      <c r="I12" s="11">
        <v>0.31</v>
      </c>
      <c r="J12" s="11">
        <v>1.04</v>
      </c>
      <c r="K12" s="13" t="s">
        <v>44</v>
      </c>
      <c r="L12" s="11" t="s">
        <v>14</v>
      </c>
      <c r="M12" s="11"/>
    </row>
    <row r="13" spans="1:14" x14ac:dyDescent="0.25">
      <c r="A13" s="10">
        <v>46017</v>
      </c>
      <c r="B13" s="11" t="s">
        <v>45</v>
      </c>
      <c r="C13" s="12" t="s">
        <v>16</v>
      </c>
      <c r="D13" s="13" t="s">
        <v>46</v>
      </c>
      <c r="E13" s="11">
        <v>7.81</v>
      </c>
      <c r="F13" s="11">
        <f t="shared" si="0"/>
        <v>6.6</v>
      </c>
      <c r="G13" s="11">
        <v>0.36</v>
      </c>
      <c r="H13" s="11">
        <v>0.14000000000000001</v>
      </c>
      <c r="I13" s="11">
        <v>0.71</v>
      </c>
      <c r="J13" s="11">
        <v>1.02</v>
      </c>
      <c r="K13" s="13" t="s">
        <v>50</v>
      </c>
      <c r="L13" s="11" t="s">
        <v>14</v>
      </c>
      <c r="M13" s="11"/>
    </row>
    <row r="14" spans="1:14" x14ac:dyDescent="0.25">
      <c r="A14" s="10">
        <v>46017</v>
      </c>
      <c r="B14" s="11" t="s">
        <v>45</v>
      </c>
      <c r="C14" s="8" t="s">
        <v>16</v>
      </c>
      <c r="D14" s="9" t="s">
        <v>47</v>
      </c>
      <c r="E14" s="7">
        <v>10.5</v>
      </c>
      <c r="F14" s="11">
        <f t="shared" si="0"/>
        <v>8.870000000000001</v>
      </c>
      <c r="G14" s="11">
        <v>0.49</v>
      </c>
      <c r="H14" s="11">
        <v>0.18</v>
      </c>
      <c r="I14" s="11">
        <v>0.96</v>
      </c>
      <c r="J14" s="11">
        <v>1.37</v>
      </c>
      <c r="K14" s="13" t="s">
        <v>50</v>
      </c>
      <c r="L14" s="11" t="s">
        <v>14</v>
      </c>
    </row>
    <row r="15" spans="1:14" x14ac:dyDescent="0.25">
      <c r="A15" s="10">
        <v>46017</v>
      </c>
      <c r="B15" s="11" t="s">
        <v>45</v>
      </c>
      <c r="C15" s="8" t="s">
        <v>16</v>
      </c>
      <c r="D15" s="9" t="s">
        <v>48</v>
      </c>
      <c r="E15" s="7">
        <v>8.5</v>
      </c>
      <c r="F15" s="11">
        <f t="shared" si="0"/>
        <v>7.1799999999999988</v>
      </c>
      <c r="G15" s="11">
        <v>0.39</v>
      </c>
      <c r="H15" s="11">
        <v>0.15</v>
      </c>
      <c r="I15" s="11">
        <v>0.78</v>
      </c>
      <c r="J15" s="11">
        <v>1.1100000000000001</v>
      </c>
      <c r="K15" s="13" t="s">
        <v>50</v>
      </c>
      <c r="L15" s="11" t="s">
        <v>14</v>
      </c>
    </row>
    <row r="16" spans="1:14" x14ac:dyDescent="0.25">
      <c r="A16" s="10">
        <v>46017</v>
      </c>
      <c r="B16" s="11" t="s">
        <v>45</v>
      </c>
      <c r="C16" s="16" t="s">
        <v>18</v>
      </c>
      <c r="D16" s="19" t="s">
        <v>49</v>
      </c>
      <c r="E16" s="11">
        <v>25.15</v>
      </c>
      <c r="F16" s="11">
        <f t="shared" si="0"/>
        <v>23.2</v>
      </c>
      <c r="G16" s="11">
        <v>1.1599999999999999</v>
      </c>
      <c r="H16" s="11">
        <v>0.49</v>
      </c>
      <c r="I16" s="11">
        <v>0.3</v>
      </c>
      <c r="J16" s="11">
        <v>0.43</v>
      </c>
      <c r="K16" s="13" t="s">
        <v>50</v>
      </c>
      <c r="L16" s="11" t="s">
        <v>14</v>
      </c>
    </row>
    <row r="17" spans="1:12" x14ac:dyDescent="0.25">
      <c r="A17" s="10">
        <v>46017</v>
      </c>
      <c r="B17" s="11" t="s">
        <v>51</v>
      </c>
      <c r="C17" s="16" t="s">
        <v>52</v>
      </c>
      <c r="D17" s="19" t="s">
        <v>53</v>
      </c>
      <c r="E17" s="11">
        <v>7.1</v>
      </c>
      <c r="F17" s="11">
        <f t="shared" si="0"/>
        <v>6.5399999999999991</v>
      </c>
      <c r="G17" s="11">
        <v>0.16</v>
      </c>
      <c r="H17" s="11">
        <v>0.12</v>
      </c>
      <c r="I17" s="11">
        <v>0.28000000000000003</v>
      </c>
      <c r="J17" s="11">
        <v>0.93</v>
      </c>
      <c r="K17" s="13" t="s">
        <v>55</v>
      </c>
      <c r="L17" s="11" t="s">
        <v>14</v>
      </c>
    </row>
    <row r="18" spans="1:12" x14ac:dyDescent="0.25">
      <c r="A18" s="10">
        <v>46017</v>
      </c>
      <c r="B18" s="11" t="s">
        <v>51</v>
      </c>
      <c r="C18" s="16" t="s">
        <v>52</v>
      </c>
      <c r="D18" s="19" t="s">
        <v>54</v>
      </c>
      <c r="E18" s="11">
        <v>10.4</v>
      </c>
      <c r="F18" s="11">
        <f t="shared" si="0"/>
        <v>9.9499999999999993</v>
      </c>
      <c r="G18" s="11">
        <v>0.24</v>
      </c>
      <c r="H18" s="11">
        <v>0.21</v>
      </c>
      <c r="I18" s="11">
        <f t="shared" si="1"/>
        <v>0</v>
      </c>
      <c r="J18" s="11">
        <v>0</v>
      </c>
      <c r="K18" s="13" t="s">
        <v>55</v>
      </c>
      <c r="L18" s="11" t="s">
        <v>14</v>
      </c>
    </row>
    <row r="19" spans="1:12" x14ac:dyDescent="0.25">
      <c r="A19" s="10">
        <v>46017</v>
      </c>
      <c r="B19" s="11" t="s">
        <v>56</v>
      </c>
      <c r="C19" s="16" t="s">
        <v>52</v>
      </c>
      <c r="D19" s="19" t="s">
        <v>57</v>
      </c>
      <c r="E19" s="11">
        <v>10.1</v>
      </c>
      <c r="F19" s="11">
        <f t="shared" si="0"/>
        <v>9.2899999999999991</v>
      </c>
      <c r="G19" s="11">
        <v>0.23</v>
      </c>
      <c r="H19">
        <v>0.18</v>
      </c>
      <c r="I19" s="11">
        <v>0.4</v>
      </c>
      <c r="J19" s="11">
        <v>1.32</v>
      </c>
      <c r="K19" s="13" t="s">
        <v>59</v>
      </c>
      <c r="L19" s="11" t="s">
        <v>14</v>
      </c>
    </row>
    <row r="20" spans="1:12" x14ac:dyDescent="0.25">
      <c r="A20" s="10">
        <v>46017</v>
      </c>
      <c r="B20" s="11" t="s">
        <v>56</v>
      </c>
      <c r="C20" s="6" t="s">
        <v>52</v>
      </c>
      <c r="D20" s="18" t="s">
        <v>58</v>
      </c>
      <c r="E20" s="11">
        <v>24.65</v>
      </c>
      <c r="F20" s="11">
        <f t="shared" si="0"/>
        <v>23.59</v>
      </c>
      <c r="G20" s="11">
        <v>0.56999999999999995</v>
      </c>
      <c r="H20">
        <v>0.49</v>
      </c>
      <c r="I20" s="11">
        <f t="shared" si="1"/>
        <v>0</v>
      </c>
      <c r="J20" s="11">
        <v>0</v>
      </c>
      <c r="K20" s="21">
        <v>89227156</v>
      </c>
      <c r="L20" s="11" t="s">
        <v>14</v>
      </c>
    </row>
    <row r="21" spans="1:12" x14ac:dyDescent="0.25">
      <c r="A21" s="10">
        <v>46017</v>
      </c>
      <c r="B21" t="s">
        <v>62</v>
      </c>
      <c r="C21" s="6" t="s">
        <v>52</v>
      </c>
      <c r="D21" s="18" t="s">
        <v>60</v>
      </c>
      <c r="E21" s="11">
        <v>5.5</v>
      </c>
      <c r="F21" s="11">
        <f t="shared" si="0"/>
        <v>4.9300000000000006</v>
      </c>
      <c r="G21">
        <v>0.25</v>
      </c>
      <c r="H21">
        <v>0.1</v>
      </c>
      <c r="I21" s="11">
        <v>0.22</v>
      </c>
      <c r="J21" s="11">
        <v>0.72</v>
      </c>
      <c r="K21" s="21">
        <v>116487863</v>
      </c>
      <c r="L21" s="11" t="s">
        <v>14</v>
      </c>
    </row>
    <row r="22" spans="1:12" x14ac:dyDescent="0.25">
      <c r="A22" s="10">
        <v>46017</v>
      </c>
      <c r="B22" t="s">
        <v>62</v>
      </c>
      <c r="C22" s="6" t="s">
        <v>52</v>
      </c>
      <c r="D22" s="18" t="s">
        <v>61</v>
      </c>
      <c r="E22" s="11">
        <v>8.9</v>
      </c>
      <c r="F22" s="11">
        <f t="shared" si="0"/>
        <v>7.99</v>
      </c>
      <c r="G22">
        <v>0.41</v>
      </c>
      <c r="H22">
        <v>0.15</v>
      </c>
      <c r="I22" s="11">
        <v>0.35</v>
      </c>
      <c r="J22" s="11">
        <v>1.1599999999999999</v>
      </c>
      <c r="K22" s="21">
        <v>116487863</v>
      </c>
      <c r="L22" s="11" t="s">
        <v>14</v>
      </c>
    </row>
    <row r="23" spans="1:12" x14ac:dyDescent="0.25">
      <c r="A23" s="10">
        <v>46017</v>
      </c>
      <c r="B23" t="s">
        <v>62</v>
      </c>
      <c r="C23" s="6" t="s">
        <v>52</v>
      </c>
      <c r="D23" s="18" t="s">
        <v>63</v>
      </c>
      <c r="E23" s="11">
        <v>303.44</v>
      </c>
      <c r="F23" s="11">
        <f t="shared" si="0"/>
        <v>282.69000000000005</v>
      </c>
      <c r="G23">
        <v>14.02</v>
      </c>
      <c r="H23">
        <v>6.02</v>
      </c>
      <c r="I23" s="11">
        <v>0.71</v>
      </c>
      <c r="J23" s="11">
        <v>2.37</v>
      </c>
      <c r="K23" s="21">
        <v>116487863</v>
      </c>
      <c r="L23" s="11" t="s">
        <v>14</v>
      </c>
    </row>
    <row r="24" spans="1:12" x14ac:dyDescent="0.25">
      <c r="A24" s="10">
        <v>46017</v>
      </c>
      <c r="B24" t="s">
        <v>64</v>
      </c>
      <c r="C24" s="6" t="s">
        <v>20</v>
      </c>
      <c r="D24" s="18" t="s">
        <v>65</v>
      </c>
      <c r="E24" s="11">
        <v>8.5</v>
      </c>
      <c r="F24" s="11">
        <f t="shared" si="0"/>
        <v>7.93</v>
      </c>
      <c r="G24">
        <v>0.39</v>
      </c>
      <c r="H24">
        <v>0.17</v>
      </c>
      <c r="I24" s="11">
        <v>0.01</v>
      </c>
      <c r="J24" s="11">
        <v>0.02</v>
      </c>
      <c r="K24" s="21">
        <v>116476857</v>
      </c>
      <c r="L24" s="11" t="s">
        <v>14</v>
      </c>
    </row>
    <row r="25" spans="1:12" x14ac:dyDescent="0.25">
      <c r="A25" s="10">
        <v>46017</v>
      </c>
      <c r="B25" t="s">
        <v>64</v>
      </c>
      <c r="C25" s="6" t="s">
        <v>20</v>
      </c>
      <c r="D25" s="18" t="s">
        <v>66</v>
      </c>
      <c r="E25" s="11">
        <v>10</v>
      </c>
      <c r="F25" s="11">
        <f t="shared" si="0"/>
        <v>9.25</v>
      </c>
      <c r="G25">
        <v>0.46</v>
      </c>
      <c r="H25">
        <v>0.2</v>
      </c>
      <c r="I25" s="11">
        <v>0.09</v>
      </c>
      <c r="J25" s="11">
        <v>0.13</v>
      </c>
      <c r="K25" s="21">
        <v>116476857</v>
      </c>
      <c r="L25" s="11" t="s">
        <v>14</v>
      </c>
    </row>
    <row r="26" spans="1:12" x14ac:dyDescent="0.25">
      <c r="A26" s="10">
        <v>46017</v>
      </c>
      <c r="B26" t="s">
        <v>64</v>
      </c>
      <c r="C26" s="6" t="s">
        <v>20</v>
      </c>
      <c r="D26" s="18" t="s">
        <v>67</v>
      </c>
      <c r="E26" s="11">
        <v>34.44</v>
      </c>
      <c r="F26" s="11">
        <f t="shared" si="0"/>
        <v>32.159999999999997</v>
      </c>
      <c r="G26">
        <v>1.59</v>
      </c>
      <c r="H26">
        <v>0.69</v>
      </c>
      <c r="I26" s="11">
        <f t="shared" si="1"/>
        <v>0</v>
      </c>
      <c r="J26" s="11">
        <v>0</v>
      </c>
      <c r="K26" s="21">
        <v>116476857</v>
      </c>
      <c r="L26" s="11" t="s">
        <v>14</v>
      </c>
    </row>
    <row r="27" spans="1:12" x14ac:dyDescent="0.25">
      <c r="A27" s="10">
        <v>46017</v>
      </c>
      <c r="B27" t="s">
        <v>64</v>
      </c>
      <c r="C27" s="6" t="s">
        <v>20</v>
      </c>
      <c r="D27" s="18" t="s">
        <v>68</v>
      </c>
      <c r="E27" s="11">
        <v>107.3</v>
      </c>
      <c r="F27" s="11">
        <f t="shared" si="0"/>
        <v>100.19</v>
      </c>
      <c r="G27">
        <v>4.96</v>
      </c>
      <c r="H27">
        <v>2.15</v>
      </c>
      <c r="I27" s="11">
        <f t="shared" si="1"/>
        <v>0</v>
      </c>
      <c r="J27" s="11">
        <v>0</v>
      </c>
      <c r="K27" s="21">
        <v>116476857</v>
      </c>
      <c r="L27" s="11" t="s">
        <v>14</v>
      </c>
    </row>
    <row r="28" spans="1:12" x14ac:dyDescent="0.25">
      <c r="A28" s="10">
        <v>46017</v>
      </c>
      <c r="B28" t="s">
        <v>64</v>
      </c>
      <c r="C28" s="6" t="s">
        <v>24</v>
      </c>
      <c r="D28" s="18" t="s">
        <v>69</v>
      </c>
      <c r="E28" s="11">
        <v>7.81</v>
      </c>
      <c r="F28" s="11">
        <f t="shared" si="0"/>
        <v>6.6</v>
      </c>
      <c r="G28">
        <v>0.36</v>
      </c>
      <c r="H28">
        <v>0.14000000000000001</v>
      </c>
      <c r="I28" s="11">
        <v>0.71</v>
      </c>
      <c r="J28" s="11">
        <v>1.02</v>
      </c>
      <c r="K28" s="21">
        <v>116476857</v>
      </c>
      <c r="L28" s="11" t="s">
        <v>14</v>
      </c>
    </row>
    <row r="29" spans="1:12" x14ac:dyDescent="0.25">
      <c r="A29" s="10">
        <v>46017</v>
      </c>
      <c r="B29" t="s">
        <v>70</v>
      </c>
      <c r="C29" s="6" t="s">
        <v>30</v>
      </c>
      <c r="D29" s="18" t="s">
        <v>71</v>
      </c>
      <c r="E29" s="11">
        <v>24.65</v>
      </c>
      <c r="F29" s="11">
        <f t="shared" si="0"/>
        <v>23.02</v>
      </c>
      <c r="G29">
        <v>1.1399999999999999</v>
      </c>
      <c r="H29">
        <v>0.49</v>
      </c>
      <c r="I29" s="11">
        <f t="shared" si="1"/>
        <v>0</v>
      </c>
      <c r="J29" s="11">
        <v>0</v>
      </c>
      <c r="K29" s="21">
        <v>89447739</v>
      </c>
      <c r="L29" s="11" t="s">
        <v>14</v>
      </c>
    </row>
    <row r="30" spans="1:12" x14ac:dyDescent="0.25">
      <c r="A30" s="10">
        <v>46020</v>
      </c>
      <c r="B30" t="s">
        <v>72</v>
      </c>
      <c r="C30" s="6" t="s">
        <v>73</v>
      </c>
      <c r="D30" s="18" t="s">
        <v>74</v>
      </c>
      <c r="E30" s="11">
        <v>49.32</v>
      </c>
      <c r="F30" s="11">
        <f t="shared" si="0"/>
        <v>46.120000000000005</v>
      </c>
      <c r="G30">
        <v>1.1299999999999999</v>
      </c>
      <c r="H30">
        <v>0.91</v>
      </c>
      <c r="I30" s="11">
        <v>1.1599999999999999</v>
      </c>
      <c r="J30" s="11">
        <v>3.86</v>
      </c>
      <c r="K30" s="21">
        <v>187255839</v>
      </c>
      <c r="L30" s="11" t="s">
        <v>14</v>
      </c>
    </row>
    <row r="31" spans="1:12" x14ac:dyDescent="0.25">
      <c r="A31" s="10">
        <v>46020</v>
      </c>
      <c r="B31" t="s">
        <v>75</v>
      </c>
      <c r="C31" s="6" t="s">
        <v>76</v>
      </c>
      <c r="D31" s="18" t="s">
        <v>77</v>
      </c>
      <c r="E31" s="11">
        <v>6.1</v>
      </c>
      <c r="F31" s="11">
        <f t="shared" si="0"/>
        <v>5.6099999999999994</v>
      </c>
      <c r="G31">
        <v>0.14000000000000001</v>
      </c>
      <c r="H31">
        <v>0.11</v>
      </c>
      <c r="I31" s="11">
        <f>J31*0.3</f>
        <v>0.24</v>
      </c>
      <c r="J31" s="11">
        <v>0.8</v>
      </c>
      <c r="K31" s="21">
        <v>187728693</v>
      </c>
      <c r="L31" s="11" t="s">
        <v>14</v>
      </c>
    </row>
    <row r="32" spans="1:12" x14ac:dyDescent="0.25">
      <c r="A32" s="10">
        <v>46020</v>
      </c>
      <c r="B32" t="s">
        <v>75</v>
      </c>
      <c r="C32" s="6" t="s">
        <v>76</v>
      </c>
      <c r="D32" s="18" t="s">
        <v>78</v>
      </c>
      <c r="E32" s="11">
        <v>13.7</v>
      </c>
      <c r="F32" s="11">
        <f t="shared" si="0"/>
        <v>13.11</v>
      </c>
      <c r="G32">
        <v>0.32</v>
      </c>
      <c r="H32">
        <v>0.27</v>
      </c>
      <c r="I32" s="11">
        <f t="shared" si="1"/>
        <v>0</v>
      </c>
      <c r="J32" s="11">
        <v>0</v>
      </c>
      <c r="K32" s="21">
        <v>187728693</v>
      </c>
      <c r="L32" s="11" t="s">
        <v>14</v>
      </c>
    </row>
    <row r="33" spans="1:12" x14ac:dyDescent="0.25">
      <c r="A33" s="10">
        <v>46020</v>
      </c>
      <c r="B33" t="s">
        <v>79</v>
      </c>
      <c r="C33" s="6" t="s">
        <v>80</v>
      </c>
      <c r="D33" s="18" t="s">
        <v>81</v>
      </c>
      <c r="E33" s="11">
        <v>44.28</v>
      </c>
      <c r="F33" s="11">
        <f t="shared" si="0"/>
        <v>41.96</v>
      </c>
      <c r="G33">
        <v>1.02</v>
      </c>
      <c r="H33">
        <v>0.87</v>
      </c>
      <c r="I33" s="11">
        <v>0.43</v>
      </c>
      <c r="J33" s="11">
        <v>0.61</v>
      </c>
      <c r="K33" s="21">
        <v>187743324</v>
      </c>
      <c r="L33" s="11" t="s">
        <v>14</v>
      </c>
    </row>
    <row r="34" spans="1:12" x14ac:dyDescent="0.25">
      <c r="A34" s="10">
        <v>46020</v>
      </c>
      <c r="B34" t="s">
        <v>79</v>
      </c>
      <c r="C34" s="6" t="s">
        <v>80</v>
      </c>
      <c r="D34" s="18" t="s">
        <v>82</v>
      </c>
      <c r="E34" s="11">
        <v>52.69</v>
      </c>
      <c r="F34" s="11">
        <f t="shared" si="0"/>
        <v>50.29</v>
      </c>
      <c r="G34">
        <v>1.21</v>
      </c>
      <c r="H34">
        <v>1.05</v>
      </c>
      <c r="I34" s="11">
        <f t="shared" si="1"/>
        <v>0.13999999999999999</v>
      </c>
      <c r="J34" s="11">
        <v>0.2</v>
      </c>
      <c r="K34" s="21">
        <v>187743324</v>
      </c>
      <c r="L34" s="11" t="s">
        <v>14</v>
      </c>
    </row>
    <row r="35" spans="1:12" x14ac:dyDescent="0.25">
      <c r="A35" s="10">
        <v>46020</v>
      </c>
      <c r="B35" t="s">
        <v>83</v>
      </c>
      <c r="C35" s="6" t="s">
        <v>84</v>
      </c>
      <c r="D35" s="18" t="s">
        <v>85</v>
      </c>
      <c r="E35" s="11">
        <v>28.2</v>
      </c>
      <c r="F35" s="11">
        <f t="shared" si="0"/>
        <v>24.480000000000004</v>
      </c>
      <c r="G35">
        <v>0.65</v>
      </c>
      <c r="H35">
        <v>0.49</v>
      </c>
      <c r="I35" s="11">
        <v>2.58</v>
      </c>
      <c r="J35" s="11">
        <v>3.68</v>
      </c>
      <c r="K35" s="21">
        <v>187233676</v>
      </c>
      <c r="L35" s="11" t="s">
        <v>14</v>
      </c>
    </row>
    <row r="36" spans="1:12" x14ac:dyDescent="0.25">
      <c r="A36" s="10">
        <v>46020</v>
      </c>
      <c r="B36" t="s">
        <v>83</v>
      </c>
      <c r="C36" s="6" t="s">
        <v>84</v>
      </c>
      <c r="D36" s="18" t="s">
        <v>86</v>
      </c>
      <c r="E36" s="11">
        <v>7.81</v>
      </c>
      <c r="F36" s="11">
        <f t="shared" si="0"/>
        <v>6.78</v>
      </c>
      <c r="G36">
        <v>0.18</v>
      </c>
      <c r="H36">
        <v>0.14000000000000001</v>
      </c>
      <c r="I36" s="11">
        <v>0.71</v>
      </c>
      <c r="J36" s="11">
        <v>1.02</v>
      </c>
      <c r="K36" s="21">
        <v>187233676</v>
      </c>
      <c r="L36" s="11" t="s">
        <v>14</v>
      </c>
    </row>
    <row r="37" spans="1:12" x14ac:dyDescent="0.25">
      <c r="A37" s="10">
        <v>46020</v>
      </c>
      <c r="B37" t="s">
        <v>87</v>
      </c>
      <c r="C37" s="6" t="s">
        <v>88</v>
      </c>
      <c r="D37" s="18" t="s">
        <v>89</v>
      </c>
      <c r="E37" s="11">
        <v>14.6</v>
      </c>
      <c r="F37" s="11">
        <f t="shared" si="0"/>
        <v>13.97</v>
      </c>
      <c r="G37">
        <v>0.34</v>
      </c>
      <c r="H37">
        <v>0.28999999999999998</v>
      </c>
      <c r="I37" s="11">
        <f t="shared" si="1"/>
        <v>0</v>
      </c>
      <c r="J37" s="11">
        <v>0</v>
      </c>
      <c r="K37" s="21">
        <v>166040633</v>
      </c>
      <c r="L37" s="11" t="s">
        <v>14</v>
      </c>
    </row>
    <row r="38" spans="1:12" x14ac:dyDescent="0.25">
      <c r="A38" s="10"/>
      <c r="F38" s="11"/>
      <c r="I38" s="11"/>
      <c r="L38" s="11"/>
    </row>
    <row r="39" spans="1:12" x14ac:dyDescent="0.25">
      <c r="F39" s="11"/>
      <c r="I39" s="11"/>
      <c r="L39" s="11"/>
    </row>
    <row r="40" spans="1:12" x14ac:dyDescent="0.25">
      <c r="F40" s="11"/>
      <c r="I40" s="11"/>
      <c r="L40" s="11"/>
    </row>
    <row r="41" spans="1:12" x14ac:dyDescent="0.25">
      <c r="F41" s="11"/>
      <c r="I41" s="11"/>
      <c r="L41" s="11"/>
    </row>
    <row r="42" spans="1:12" x14ac:dyDescent="0.25">
      <c r="F42" s="11"/>
      <c r="I42" s="11"/>
      <c r="L42" s="11"/>
    </row>
    <row r="43" spans="1:12" x14ac:dyDescent="0.25">
      <c r="F43" s="11"/>
      <c r="I43" s="11"/>
      <c r="L43" s="11"/>
    </row>
    <row r="44" spans="1:12" x14ac:dyDescent="0.25">
      <c r="I44" s="11"/>
      <c r="L44" s="11"/>
    </row>
    <row r="45" spans="1:12" x14ac:dyDescent="0.25">
      <c r="L45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2026-02-12T20:44:56Z</dcterms:modified>
  <cp:revision>65</cp:revision>
</cp:coreProperties>
</file>