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13_ncr:1_{89ACC561-E053-4746-AB78-0C52CF5DC662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191029"/>
  <extLs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2" i="1"/>
  <c r="H12" i="1"/>
  <c r="F13" i="1"/>
  <c r="F14" i="1"/>
  <c r="F15" i="1"/>
  <c r="F16" i="1"/>
  <c r="F17" i="1"/>
</calcChain>
</file>

<file path=xl/sharedStrings.xml><?xml version="1.0" encoding="utf-8"?>
<sst xmlns="http://schemas.openxmlformats.org/spreadsheetml/2006/main" count="98" uniqueCount="46">
  <si>
    <t>Fecha deposito (dd/mm/aaaa)</t>
  </si>
  <si>
    <t>Lote</t>
  </si>
  <si>
    <t>Recap</t>
  </si>
  <si>
    <t>Importe</t>
  </si>
  <si>
    <t>Valor Acreditado</t>
  </si>
  <si>
    <t>Comision</t>
  </si>
  <si>
    <t>Ret. renta</t>
  </si>
  <si>
    <t>Ret. iva</t>
  </si>
  <si>
    <t>Iva</t>
  </si>
  <si>
    <t>Ref. deposito</t>
  </si>
  <si>
    <t>Liquidado (Y/N)</t>
  </si>
  <si>
    <t>C. Costos</t>
  </si>
  <si>
    <t>Usuario</t>
  </si>
  <si>
    <t>ID de Lote Agrupador</t>
  </si>
  <si>
    <t>N</t>
  </si>
  <si>
    <t>Liq 53285445</t>
  </si>
  <si>
    <t>2005</t>
  </si>
  <si>
    <t>970043</t>
  </si>
  <si>
    <t>001287</t>
  </si>
  <si>
    <t>2659</t>
  </si>
  <si>
    <t>01287</t>
  </si>
  <si>
    <t>02658</t>
  </si>
  <si>
    <t>002664</t>
  </si>
  <si>
    <t>2662</t>
  </si>
  <si>
    <t>1235399</t>
  </si>
  <si>
    <t>Liq 19530260</t>
  </si>
  <si>
    <t>571627</t>
  </si>
  <si>
    <t>1072735</t>
  </si>
  <si>
    <t>Liq 53294823</t>
  </si>
  <si>
    <t>2006</t>
  </si>
  <si>
    <t>842396</t>
  </si>
  <si>
    <t>844240</t>
  </si>
  <si>
    <t>001288</t>
  </si>
  <si>
    <t>002667</t>
  </si>
  <si>
    <t>68551856</t>
  </si>
  <si>
    <t>Liq 52709946</t>
  </si>
  <si>
    <t>510504</t>
  </si>
  <si>
    <t>618846</t>
  </si>
  <si>
    <t>2660</t>
  </si>
  <si>
    <t>2663</t>
  </si>
  <si>
    <t>2657</t>
  </si>
  <si>
    <t>002656</t>
  </si>
  <si>
    <t>1042095</t>
  </si>
  <si>
    <t>Liq 53294855</t>
  </si>
  <si>
    <t>007137</t>
  </si>
  <si>
    <t>1116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</si>
</sst>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8" x14ac:knownFonts="1">
    <font>
      <sz val="11"/>
      <color rgb="FF000000"/>
      <name val="Calibri"/>
      <charset val="1"/>
    </font>
    <font>
      <b/>
      <sz val="10"/>
      <color rgb="FF000000"/>
      <name val="Calibri"/>
      <family val="2"/>
    </font>
    <font>
      <b/>
      <sz val="10"/>
      <color rgb="FFEE0000"/>
      <name val="Calibri"/>
      <family val="2"/>
    </font>
    <font>
      <sz val="10"/>
      <color rgb="FF000000"/>
      <name val="Calibri"/>
      <family val="2"/>
    </font>
    <font>
      <sz val="8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0" fontId="3" fillId="0" borderId="0" xfId="0" applyFont="1"/>
    <xf numFmtId="49" fontId="0" fillId="0" borderId="0" xfId="0" applyNumberFormat="1"/>
    <xf numFmtId="0" fontId="5" fillId="0" borderId="0" xfId="0" applyFont="1"/>
    <xf numFmtId="49" fontId="5" fillId="0" borderId="0" xfId="0" applyNumberFormat="1" applyFont="1" applyAlignment="1">
      <alignment horizontal="center"/>
    </xf>
    <xf numFmtId="49" fontId="5" fillId="0" borderId="0" xfId="0" applyNumberFormat="1" applyFont="1" applyAlignment="1">
      <alignment horizontal="right"/>
    </xf>
    <xf numFmtId="164" fontId="6" fillId="0" borderId="0" xfId="0" applyNumberFormat="1" applyFont="1"/>
    <xf numFmtId="0" fontId="6" fillId="0" borderId="0" xfId="0" applyFont="1"/>
    <xf numFmtId="49" fontId="6" fillId="0" borderId="0" xfId="0" applyNumberFormat="1" applyFont="1" applyAlignment="1">
      <alignment horizontal="center"/>
    </xf>
    <xf numFmtId="49" fontId="6" fillId="0" borderId="0" xfId="0" applyNumberFormat="1" applyFont="1" applyAlignment="1">
      <alignment horizontal="right"/>
    </xf>
    <xf numFmtId="49" fontId="6" fillId="0" borderId="0" xfId="0" applyNumberFormat="1" applyFont="1"/>
    <xf numFmtId="49" fontId="1" fillId="0" borderId="0" xfId="0" applyNumberFormat="1" applyFont="1" applyAlignment="1">
      <alignment horizontal="center" vertical="center"/>
    </xf>
    <xf numFmtId="49" fontId="7" fillId="0" borderId="0" xfId="0" applyNumberFormat="1" applyFont="1"/>
    <xf numFmtId="49" fontId="1" fillId="0" borderId="0" xfId="0" applyNumberFormat="1" applyFont="1" applyAlignment="1">
      <alignment horizontal="right" vertical="center"/>
    </xf>
    <xf numFmtId="49" fontId="0" fillId="0" borderId="0" xfId="0" applyNumberFormat="1" applyAlignment="1">
      <alignment horizontal="right"/>
    </xf>
    <xf numFmtId="49" fontId="7" fillId="0" borderId="0" xfId="0" applyNumberFormat="1" applyFont="1" applyAlignment="1">
      <alignment horizontal="right"/>
    </xf>
    <xf numFmtId="0" fontId="1" fillId="0" borderId="0" xfId="0" applyFont="1" applyAlignment="1">
      <alignment horizontal="right" vertical="center" wrapText="1"/>
    </xf>
    <xf numFmtId="0" fontId="6" fillId="0" borderId="0" xfId="0" applyFont="1" applyAlignment="1">
      <alignment horizontal="righ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8"/>
  <sheetViews>
    <sheetView tabSelected="1" zoomScale="130" zoomScaleNormal="130" workbookViewId="0">
      <selection activeCell="E2" sqref="E2:E6"/>
    </sheetView>
  </sheetViews>
  <sheetFormatPr baseColWidth="10" defaultColWidth="8.5703125" defaultRowHeight="15" x14ac:dyDescent="0.25"/>
  <cols>
    <col min="1" max="1" width="14.140625" customWidth="1"/>
    <col min="2" max="2" width="13.7109375" customWidth="1"/>
    <col min="3" max="3" width="7.28515625" style="6" customWidth="1"/>
    <col min="4" max="4" width="14" style="18" customWidth="1"/>
    <col min="6" max="6" width="9.7109375" customWidth="1"/>
    <col min="9" max="9" width="11.85546875" bestFit="1" customWidth="1"/>
    <col min="11" max="11" width="13.7109375" style="22" customWidth="1"/>
    <col min="13" max="13" width="27.7109375" customWidth="1"/>
    <col min="14" max="14" width="17" customWidth="1"/>
  </cols>
  <sheetData>
    <row r="1" spans="1:14" s="5" customFormat="1" ht="34.5" customHeight="1" x14ac:dyDescent="0.2">
      <c r="A1" s="1" t="s">
        <v>0</v>
      </c>
      <c r="B1" s="2" t="s">
        <v>13</v>
      </c>
      <c r="C1" s="15" t="s">
        <v>1</v>
      </c>
      <c r="D1" s="17" t="s">
        <v>2</v>
      </c>
      <c r="E1" s="3" t="s">
        <v>3</v>
      </c>
      <c r="F1" s="1" t="s">
        <v>4</v>
      </c>
      <c r="G1" s="3" t="s">
        <v>5</v>
      </c>
      <c r="H1" s="4" t="s">
        <v>6</v>
      </c>
      <c r="I1" s="4" t="s">
        <v>7</v>
      </c>
      <c r="J1" s="4" t="s">
        <v>8</v>
      </c>
      <c r="K1" s="20" t="s">
        <v>9</v>
      </c>
      <c r="L1" s="1" t="s">
        <v>10</v>
      </c>
      <c r="M1" s="1" t="s">
        <v>11</v>
      </c>
      <c r="N1" s="1" t="s">
        <v>12</v>
      </c>
    </row>
    <row r="2" spans="1:14" x14ac:dyDescent="0.25">
      <c r="A2" s="10">
        <v>46003</v>
      </c>
      <c r="B2" s="11" t="s">
        <v>15</v>
      </c>
      <c r="C2" s="14" t="s">
        <v>16</v>
      </c>
      <c r="D2" s="13" t="s">
        <v>17</v>
      </c>
      <c r="E2" s="11">
        <v>5.8</v>
      </c>
      <c r="F2" s="11">
        <f>E2-G2-H2-I2</f>
        <v>5.4099999999999993</v>
      </c>
      <c r="G2" s="11">
        <v>0.27</v>
      </c>
      <c r="H2" s="11">
        <v>0.12</v>
      </c>
      <c r="I2" s="11">
        <v>0</v>
      </c>
      <c r="J2" s="11">
        <v>0</v>
      </c>
      <c r="K2" s="13" t="s">
        <v>24</v>
      </c>
      <c r="L2" s="11" t="s">
        <v>14</v>
      </c>
      <c r="M2" s="11"/>
    </row>
    <row r="3" spans="1:14" x14ac:dyDescent="0.25">
      <c r="A3" s="10">
        <v>46003</v>
      </c>
      <c r="B3" s="11" t="s">
        <v>15</v>
      </c>
      <c r="C3" s="14" t="s">
        <v>18</v>
      </c>
      <c r="D3" s="13" t="s">
        <v>19</v>
      </c>
      <c r="E3" s="11">
        <v>7.81</v>
      </c>
      <c r="F3" s="11">
        <f t="shared" ref="F3:F6" si="0">E3-G3-H3-I3</f>
        <v>6.6</v>
      </c>
      <c r="G3" s="11">
        <v>0.36</v>
      </c>
      <c r="H3" s="11">
        <v>0.14000000000000001</v>
      </c>
      <c r="I3" s="11">
        <v>0.71</v>
      </c>
      <c r="J3" s="11">
        <v>1.02</v>
      </c>
      <c r="K3" s="13" t="s">
        <v>24</v>
      </c>
      <c r="L3" s="11" t="s">
        <v>14</v>
      </c>
      <c r="M3" s="11"/>
    </row>
    <row r="4" spans="1:14" x14ac:dyDescent="0.25">
      <c r="A4" s="10">
        <v>46003</v>
      </c>
      <c r="B4" s="11" t="s">
        <v>15</v>
      </c>
      <c r="C4" s="14" t="s">
        <v>20</v>
      </c>
      <c r="D4" s="13" t="s">
        <v>21</v>
      </c>
      <c r="E4" s="11">
        <v>40.799999999999997</v>
      </c>
      <c r="F4" s="11">
        <f t="shared" si="0"/>
        <v>34.499999999999993</v>
      </c>
      <c r="G4" s="11">
        <v>1.88</v>
      </c>
      <c r="H4" s="11">
        <v>0.71</v>
      </c>
      <c r="I4" s="11">
        <v>3.71</v>
      </c>
      <c r="J4" s="11">
        <v>5.32</v>
      </c>
      <c r="K4" s="13" t="s">
        <v>24</v>
      </c>
      <c r="L4" s="11" t="s">
        <v>14</v>
      </c>
      <c r="M4" s="11"/>
    </row>
    <row r="5" spans="1:14" x14ac:dyDescent="0.25">
      <c r="A5" s="10">
        <v>46003</v>
      </c>
      <c r="B5" s="11" t="s">
        <v>15</v>
      </c>
      <c r="C5" s="14" t="s">
        <v>18</v>
      </c>
      <c r="D5" s="13" t="s">
        <v>22</v>
      </c>
      <c r="E5" s="11">
        <v>8</v>
      </c>
      <c r="F5" s="11">
        <f t="shared" si="0"/>
        <v>6.75</v>
      </c>
      <c r="G5" s="11">
        <v>0.37</v>
      </c>
      <c r="H5" s="11">
        <v>0.14000000000000001</v>
      </c>
      <c r="I5" s="11">
        <v>0.74</v>
      </c>
      <c r="J5" s="11">
        <v>1.04</v>
      </c>
      <c r="K5" s="13" t="s">
        <v>24</v>
      </c>
      <c r="L5" s="11" t="s">
        <v>14</v>
      </c>
      <c r="M5" s="11"/>
    </row>
    <row r="6" spans="1:14" x14ac:dyDescent="0.25">
      <c r="A6" s="10">
        <v>46003</v>
      </c>
      <c r="B6" s="11" t="s">
        <v>15</v>
      </c>
      <c r="C6" s="14" t="s">
        <v>20</v>
      </c>
      <c r="D6" s="13" t="s">
        <v>23</v>
      </c>
      <c r="E6" s="11">
        <v>9.3000000000000007</v>
      </c>
      <c r="F6" s="11">
        <f t="shared" si="0"/>
        <v>7.8600000000000012</v>
      </c>
      <c r="G6" s="11">
        <v>0.43</v>
      </c>
      <c r="H6" s="11">
        <v>0.16</v>
      </c>
      <c r="I6" s="11">
        <v>0.85</v>
      </c>
      <c r="J6" s="11">
        <v>1.21</v>
      </c>
      <c r="K6" s="13" t="s">
        <v>24</v>
      </c>
      <c r="L6" s="11" t="s">
        <v>14</v>
      </c>
      <c r="M6" s="11"/>
    </row>
    <row r="7" spans="1:14" x14ac:dyDescent="0.25">
      <c r="A7" s="10">
        <v>46003</v>
      </c>
      <c r="B7" s="11" t="s">
        <v>25</v>
      </c>
      <c r="C7" s="14" t="s">
        <v>16</v>
      </c>
      <c r="D7" s="13" t="s">
        <v>26</v>
      </c>
      <c r="E7" s="11">
        <v>23.35</v>
      </c>
      <c r="F7" s="11">
        <v>21.8</v>
      </c>
      <c r="G7" s="11">
        <v>1.08</v>
      </c>
      <c r="H7" s="11">
        <v>0.47</v>
      </c>
      <c r="I7" s="11">
        <v>0</v>
      </c>
      <c r="J7" s="11">
        <v>0</v>
      </c>
      <c r="K7" s="13" t="s">
        <v>27</v>
      </c>
      <c r="L7" s="11" t="s">
        <v>14</v>
      </c>
      <c r="M7" s="11"/>
    </row>
    <row r="8" spans="1:14" x14ac:dyDescent="0.25">
      <c r="A8" s="10">
        <v>46003</v>
      </c>
      <c r="B8" s="11" t="s">
        <v>25</v>
      </c>
      <c r="C8" s="14" t="s">
        <v>18</v>
      </c>
      <c r="D8" s="13" t="s">
        <v>22</v>
      </c>
      <c r="E8" s="11">
        <v>8</v>
      </c>
      <c r="F8" s="11">
        <v>6.76</v>
      </c>
      <c r="G8" s="11">
        <v>0.37</v>
      </c>
      <c r="H8" s="11">
        <v>0.14000000000000001</v>
      </c>
      <c r="I8" s="11">
        <v>0.73</v>
      </c>
      <c r="J8" s="11">
        <v>0</v>
      </c>
      <c r="K8" s="13" t="s">
        <v>27</v>
      </c>
      <c r="L8" s="11" t="s">
        <v>14</v>
      </c>
      <c r="M8" s="11"/>
    </row>
    <row r="9" spans="1:14" x14ac:dyDescent="0.25">
      <c r="A9" s="10">
        <v>46003</v>
      </c>
      <c r="B9" s="11" t="s">
        <v>28</v>
      </c>
      <c r="C9" s="12" t="s">
        <v>29</v>
      </c>
      <c r="D9" s="13" t="s">
        <v>30</v>
      </c>
      <c r="E9" s="11">
        <v>18.18</v>
      </c>
      <c r="F9" s="11">
        <v>17.36</v>
      </c>
      <c r="G9" s="11">
        <v>0.42</v>
      </c>
      <c r="H9" s="11">
        <v>0.36</v>
      </c>
      <c r="I9" s="11">
        <v>0.04</v>
      </c>
      <c r="J9" s="11">
        <v>0.06</v>
      </c>
      <c r="K9" s="18" t="s">
        <v>34</v>
      </c>
      <c r="L9" s="11" t="s">
        <v>14</v>
      </c>
      <c r="M9" s="11"/>
    </row>
    <row r="10" spans="1:14" x14ac:dyDescent="0.25">
      <c r="A10" s="10">
        <v>46003</v>
      </c>
      <c r="B10" s="11" t="s">
        <v>28</v>
      </c>
      <c r="C10" s="12" t="s">
        <v>29</v>
      </c>
      <c r="D10" s="13" t="s">
        <v>31</v>
      </c>
      <c r="E10" s="11">
        <v>11.2</v>
      </c>
      <c r="F10" s="11">
        <v>10.72</v>
      </c>
      <c r="G10" s="11">
        <v>0.26</v>
      </c>
      <c r="H10" s="11">
        <v>0.22</v>
      </c>
      <c r="I10" s="11">
        <v>0</v>
      </c>
      <c r="J10" s="11">
        <v>0</v>
      </c>
      <c r="K10" s="18" t="s">
        <v>34</v>
      </c>
      <c r="L10" s="11" t="s">
        <v>14</v>
      </c>
      <c r="M10" s="11"/>
    </row>
    <row r="11" spans="1:14" x14ac:dyDescent="0.25">
      <c r="A11" s="10">
        <v>46003</v>
      </c>
      <c r="B11" s="11" t="s">
        <v>28</v>
      </c>
      <c r="C11" s="12" t="s">
        <v>32</v>
      </c>
      <c r="D11" s="13" t="s">
        <v>33</v>
      </c>
      <c r="E11" s="11">
        <v>7.1</v>
      </c>
      <c r="F11" s="11">
        <v>6.8</v>
      </c>
      <c r="G11" s="11">
        <v>0.16</v>
      </c>
      <c r="H11" s="11">
        <v>0.14000000000000001</v>
      </c>
      <c r="I11" s="11">
        <v>0</v>
      </c>
      <c r="J11" s="11">
        <v>0</v>
      </c>
      <c r="K11" s="18" t="s">
        <v>34</v>
      </c>
      <c r="L11" s="11" t="s">
        <v>14</v>
      </c>
      <c r="M11" s="11"/>
    </row>
    <row r="12" spans="1:14" x14ac:dyDescent="0.25">
      <c r="A12" s="10">
        <v>46003</v>
      </c>
      <c r="B12" s="11" t="s">
        <v>35</v>
      </c>
      <c r="C12" s="12" t="s">
        <v>16</v>
      </c>
      <c r="D12" s="13" t="s">
        <v>36</v>
      </c>
      <c r="E12" s="11">
        <v>100.1</v>
      </c>
      <c r="F12">
        <v>93.48</v>
      </c>
      <c r="G12" s="11">
        <v>4.62</v>
      </c>
      <c r="H12" s="11">
        <f>100.1*2%</f>
        <v>2.0019999999999998</v>
      </c>
      <c r="I12" s="11">
        <v>0</v>
      </c>
      <c r="J12" s="11">
        <v>0</v>
      </c>
      <c r="K12" s="13" t="s">
        <v>42</v>
      </c>
      <c r="L12" s="11" t="s">
        <v>14</v>
      </c>
      <c r="M12" s="11"/>
    </row>
    <row r="13" spans="1:14" x14ac:dyDescent="0.25">
      <c r="A13" s="10">
        <v>46003</v>
      </c>
      <c r="B13" s="11" t="s">
        <v>35</v>
      </c>
      <c r="C13" s="12" t="s">
        <v>16</v>
      </c>
      <c r="D13" s="13" t="s">
        <v>37</v>
      </c>
      <c r="E13" s="11">
        <v>11.7</v>
      </c>
      <c r="F13">
        <f t="shared" ref="F13:F17" si="1">E13-G13-H13-I13</f>
        <v>10.93</v>
      </c>
      <c r="G13" s="11">
        <v>0.54</v>
      </c>
      <c r="H13" s="11">
        <v>0.23</v>
      </c>
      <c r="I13" s="11">
        <v>0</v>
      </c>
      <c r="J13" s="11">
        <v>0</v>
      </c>
      <c r="K13" s="13" t="s">
        <v>42</v>
      </c>
      <c r="L13" s="11" t="s">
        <v>14</v>
      </c>
      <c r="M13" s="11"/>
    </row>
    <row r="14" spans="1:14" x14ac:dyDescent="0.25">
      <c r="A14" s="10">
        <v>46003</v>
      </c>
      <c r="B14" s="11" t="s">
        <v>35</v>
      </c>
      <c r="C14" s="8" t="s">
        <v>18</v>
      </c>
      <c r="D14" s="9" t="s">
        <v>38</v>
      </c>
      <c r="E14" s="7">
        <v>32.299999999999997</v>
      </c>
      <c r="F14">
        <f t="shared" si="1"/>
        <v>27.3</v>
      </c>
      <c r="G14" s="11">
        <v>1.49</v>
      </c>
      <c r="H14" s="11">
        <v>0.56000000000000005</v>
      </c>
      <c r="I14" s="11">
        <v>2.95</v>
      </c>
      <c r="J14" s="7">
        <v>4.21</v>
      </c>
      <c r="K14" s="13" t="s">
        <v>42</v>
      </c>
      <c r="L14" s="11" t="s">
        <v>14</v>
      </c>
    </row>
    <row r="15" spans="1:14" x14ac:dyDescent="0.25">
      <c r="A15" s="10">
        <v>46003</v>
      </c>
      <c r="B15" s="11" t="s">
        <v>35</v>
      </c>
      <c r="C15" s="8" t="s">
        <v>20</v>
      </c>
      <c r="D15" s="9" t="s">
        <v>39</v>
      </c>
      <c r="E15" s="7">
        <v>8.6</v>
      </c>
      <c r="F15">
        <f t="shared" si="1"/>
        <v>7.2699999999999987</v>
      </c>
      <c r="G15" s="11">
        <v>0.4</v>
      </c>
      <c r="H15" s="11">
        <v>0.15</v>
      </c>
      <c r="I15" s="11">
        <v>0.78</v>
      </c>
      <c r="J15" s="7">
        <v>1.1200000000000001</v>
      </c>
      <c r="K15" s="13" t="s">
        <v>42</v>
      </c>
      <c r="L15" s="11" t="s">
        <v>14</v>
      </c>
    </row>
    <row r="16" spans="1:14" x14ac:dyDescent="0.25">
      <c r="A16" s="10">
        <v>46003</v>
      </c>
      <c r="B16" s="11" t="s">
        <v>35</v>
      </c>
      <c r="C16" s="16" t="s">
        <v>20</v>
      </c>
      <c r="D16" s="18" t="s">
        <v>40</v>
      </c>
      <c r="E16" s="11">
        <v>8</v>
      </c>
      <c r="F16">
        <f t="shared" si="1"/>
        <v>6.76</v>
      </c>
      <c r="G16" s="11">
        <v>0.37</v>
      </c>
      <c r="H16" s="11">
        <v>0.14000000000000001</v>
      </c>
      <c r="I16" s="11">
        <v>0.73</v>
      </c>
      <c r="J16" s="11">
        <v>1.04</v>
      </c>
      <c r="K16" s="13" t="s">
        <v>42</v>
      </c>
      <c r="L16" s="11" t="s">
        <v>14</v>
      </c>
    </row>
    <row r="17" spans="1:12" x14ac:dyDescent="0.25">
      <c r="A17" s="10">
        <v>46003</v>
      </c>
      <c r="B17" s="11" t="s">
        <v>35</v>
      </c>
      <c r="C17" s="16" t="s">
        <v>18</v>
      </c>
      <c r="D17" s="19" t="s">
        <v>41</v>
      </c>
      <c r="E17" s="11">
        <v>8</v>
      </c>
      <c r="F17">
        <f t="shared" si="1"/>
        <v>6.76</v>
      </c>
      <c r="G17" s="11">
        <v>0.37</v>
      </c>
      <c r="H17" s="11">
        <v>0.14000000000000001</v>
      </c>
      <c r="I17" s="11">
        <v>0.73</v>
      </c>
      <c r="J17" s="11">
        <v>1.04</v>
      </c>
      <c r="K17" s="13" t="s">
        <v>42</v>
      </c>
      <c r="L17" s="11" t="s">
        <v>14</v>
      </c>
    </row>
    <row r="18" spans="1:12" x14ac:dyDescent="0.25">
      <c r="A18" s="10">
        <v>46003</v>
      </c>
      <c r="B18" s="11" t="s">
        <v>43</v>
      </c>
      <c r="C18" s="16" t="s">
        <v>45</v>
      </c>
      <c r="D18" s="19" t="s">
        <v>44</v>
      </c>
      <c r="E18" s="11">
        <v>28.6</v>
      </c>
      <c r="F18">
        <v>26.32</v>
      </c>
      <c r="G18" s="11">
        <v>0.66</v>
      </c>
      <c r="H18" s="11">
        <v>0.5</v>
      </c>
      <c r="I18" s="11">
        <v>1.1200000000000001</v>
      </c>
      <c r="J18" s="11">
        <v>3.73</v>
      </c>
      <c r="K18" s="21">
        <v>68575725</v>
      </c>
      <c r="L18" s="11" t="s">
        <v>14</v>
      </c>
    </row>
  </sheetData>
  <phoneticPr fontId="4" type="noConversion"/>
  <pageMargins left="0.70069444444444395" right="0.70069444444444395" top="0.75208333333333299" bottom="0.75208333333333299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2025-04-01T16:08:46Z</dcterms:created>
  <dc:creator>USUARIO</dc:creator>
  <dc:language>es-EC</dc:language>
  <cp:lastModifiedBy>Usuario</cp:lastModifiedBy>
  <dcterms:modified xsi:type="dcterms:W3CDTF">2026-02-09T19:52:52Z</dcterms:modified>
  <cp:revision>65</cp:revision>
</cp:coreProperties>
</file>